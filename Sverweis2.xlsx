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A573652F-04D4-4C24-8D86-21560DC54594}" xr6:coauthVersionLast="47" xr6:coauthVersionMax="47" xr10:uidLastSave="{00000000-0000-0000-0000-000000000000}"/>
  <bookViews>
    <workbookView xWindow="-110" yWindow="-110" windowWidth="19420" windowHeight="11500" activeTab="1" xr2:uid="{51FB2E70-99CF-4F05-92C8-76EB3520D4F6}"/>
  </bookViews>
  <sheets>
    <sheet name="Inland" sheetId="1" r:id="rId1"/>
    <sheet name="Europ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4" i="2"/>
  <c r="C5" i="1"/>
  <c r="C6" i="1"/>
  <c r="C7" i="1"/>
  <c r="C8" i="1"/>
  <c r="C9" i="1"/>
  <c r="C4" i="1"/>
</calcChain>
</file>

<file path=xl/sharedStrings.xml><?xml version="1.0" encoding="utf-8"?>
<sst xmlns="http://schemas.openxmlformats.org/spreadsheetml/2006/main" count="35" uniqueCount="20">
  <si>
    <t>Versandkosten</t>
  </si>
  <si>
    <t>Ort</t>
  </si>
  <si>
    <t>Gewicht</t>
  </si>
  <si>
    <t>Porto</t>
  </si>
  <si>
    <t>Baden</t>
  </si>
  <si>
    <t>Kufstein</t>
  </si>
  <si>
    <t>Marschegg</t>
  </si>
  <si>
    <t>Linz</t>
  </si>
  <si>
    <t>Apfelberg</t>
  </si>
  <si>
    <t>Stanz</t>
  </si>
  <si>
    <t>Tarife</t>
  </si>
  <si>
    <t>Gewicht g</t>
  </si>
  <si>
    <t>Inland</t>
  </si>
  <si>
    <t>Europa</t>
  </si>
  <si>
    <t>Staat</t>
  </si>
  <si>
    <t>A</t>
  </si>
  <si>
    <t>I</t>
  </si>
  <si>
    <t>D</t>
  </si>
  <si>
    <t>F</t>
  </si>
  <si>
    <t>Pedesina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</si>
</sst>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5" formatCode="#,##0.00_ ;\-#,##0.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5" fontId="0" fillId="0" borderId="1" xfId="1" applyNumberFormat="1" applyFont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CEF4-FC27-4D89-9334-B07369AC17A6}">
  <dimension ref="A2:G9"/>
  <sheetViews>
    <sheetView workbookViewId="0">
      <selection activeCell="B13" sqref="B13"/>
    </sheetView>
  </sheetViews>
  <sheetFormatPr baseColWidth="10" defaultRowHeight="14.5" x14ac:dyDescent="0.35"/>
  <cols>
    <col min="1" max="1" width="12.90625" bestFit="1" customWidth="1"/>
  </cols>
  <sheetData>
    <row r="2" spans="1:7" x14ac:dyDescent="0.35">
      <c r="A2" s="1"/>
      <c r="B2" s="2" t="s">
        <v>0</v>
      </c>
      <c r="C2" s="1"/>
      <c r="E2" s="4"/>
      <c r="F2" s="5" t="s">
        <v>10</v>
      </c>
      <c r="G2" s="4"/>
    </row>
    <row r="3" spans="1:7" x14ac:dyDescent="0.35">
      <c r="A3" s="3" t="s">
        <v>1</v>
      </c>
      <c r="B3" s="3" t="s">
        <v>2</v>
      </c>
      <c r="C3" s="3" t="s">
        <v>3</v>
      </c>
      <c r="E3" s="3" t="s">
        <v>11</v>
      </c>
      <c r="F3" s="3" t="s">
        <v>12</v>
      </c>
      <c r="G3" s="3" t="s">
        <v>13</v>
      </c>
    </row>
    <row r="4" spans="1:7" x14ac:dyDescent="0.35">
      <c r="A4" s="3" t="s">
        <v>4</v>
      </c>
      <c r="B4" s="3">
        <v>420</v>
      </c>
      <c r="C4" s="3">
        <f>VLOOKUP(B4,$E$3:$F$9,2,TRUE)</f>
        <v>6.5</v>
      </c>
      <c r="E4" s="3">
        <v>1</v>
      </c>
      <c r="F4" s="6">
        <v>1.6</v>
      </c>
      <c r="G4" s="3">
        <v>2.4</v>
      </c>
    </row>
    <row r="5" spans="1:7" x14ac:dyDescent="0.35">
      <c r="A5" s="3" t="s">
        <v>5</v>
      </c>
      <c r="B5" s="3">
        <v>85</v>
      </c>
      <c r="C5" s="3">
        <f t="shared" ref="C5:C9" si="0">VLOOKUP(B5,$E$3:$F$9,2,TRUE)</f>
        <v>1.6</v>
      </c>
      <c r="E5" s="3">
        <v>100</v>
      </c>
      <c r="F5" s="3">
        <v>6.5</v>
      </c>
      <c r="G5" s="3">
        <v>9.5</v>
      </c>
    </row>
    <row r="6" spans="1:7" x14ac:dyDescent="0.35">
      <c r="A6" s="3" t="s">
        <v>6</v>
      </c>
      <c r="B6" s="3">
        <v>3240</v>
      </c>
      <c r="C6" s="3">
        <f t="shared" si="0"/>
        <v>20.100000000000001</v>
      </c>
      <c r="E6" s="3">
        <v>500</v>
      </c>
      <c r="F6" s="3">
        <v>9.8000000000000007</v>
      </c>
      <c r="G6" s="3">
        <v>14.5</v>
      </c>
    </row>
    <row r="7" spans="1:7" x14ac:dyDescent="0.35">
      <c r="A7" s="3" t="s">
        <v>7</v>
      </c>
      <c r="B7" s="3">
        <v>125</v>
      </c>
      <c r="C7" s="3">
        <f t="shared" si="0"/>
        <v>6.5</v>
      </c>
      <c r="E7" s="3">
        <v>1000</v>
      </c>
      <c r="F7" s="3">
        <v>20.100000000000001</v>
      </c>
      <c r="G7" s="3">
        <v>28.4</v>
      </c>
    </row>
    <row r="8" spans="1:7" x14ac:dyDescent="0.35">
      <c r="A8" s="3" t="s">
        <v>9</v>
      </c>
      <c r="B8" s="3">
        <v>34</v>
      </c>
      <c r="C8" s="3">
        <f t="shared" si="0"/>
        <v>1.6</v>
      </c>
      <c r="E8" s="3">
        <v>5000</v>
      </c>
      <c r="F8" s="3">
        <v>35.5</v>
      </c>
      <c r="G8" s="3">
        <v>40.4</v>
      </c>
    </row>
    <row r="9" spans="1:7" x14ac:dyDescent="0.35">
      <c r="A9" s="3" t="s">
        <v>8</v>
      </c>
      <c r="B9" s="3">
        <v>2</v>
      </c>
      <c r="C9" s="3">
        <f t="shared" si="0"/>
        <v>1.6</v>
      </c>
      <c r="E9" s="3">
        <v>10000</v>
      </c>
      <c r="F9" s="3">
        <v>50.1</v>
      </c>
      <c r="G9" s="3">
        <v>55.1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A7DD-B784-4E25-9E1A-F94A8B2E5427}">
  <dimension ref="A2:H10"/>
  <sheetViews>
    <sheetView tabSelected="1" workbookViewId="0">
      <selection activeCell="D16" sqref="D16"/>
    </sheetView>
  </sheetViews>
  <sheetFormatPr baseColWidth="10" defaultRowHeight="14.5" x14ac:dyDescent="0.35"/>
  <sheetData>
    <row r="2" spans="1:8" x14ac:dyDescent="0.35">
      <c r="A2" s="7"/>
      <c r="B2" s="7"/>
      <c r="C2" s="8" t="s">
        <v>0</v>
      </c>
      <c r="D2" s="7"/>
      <c r="F2" s="10"/>
      <c r="G2" s="11" t="s">
        <v>10</v>
      </c>
      <c r="H2" s="10"/>
    </row>
    <row r="3" spans="1:8" x14ac:dyDescent="0.35">
      <c r="A3" s="3" t="s">
        <v>14</v>
      </c>
      <c r="B3" s="3" t="s">
        <v>1</v>
      </c>
      <c r="C3" s="3" t="s">
        <v>2</v>
      </c>
      <c r="D3" s="3" t="s">
        <v>3</v>
      </c>
      <c r="F3" s="3" t="s">
        <v>11</v>
      </c>
      <c r="G3" s="3" t="s">
        <v>12</v>
      </c>
      <c r="H3" s="3" t="s">
        <v>13</v>
      </c>
    </row>
    <row r="4" spans="1:8" x14ac:dyDescent="0.35">
      <c r="A4" s="3" t="s">
        <v>15</v>
      </c>
      <c r="B4" s="3" t="s">
        <v>4</v>
      </c>
      <c r="C4" s="3">
        <v>420</v>
      </c>
      <c r="D4" s="3">
        <f>IF(A4="A",VLOOKUP(C4,$F$3:$G$9,2,TRUE),VLOOKUP(C4,$F$3:$H$9,3,TRUE))</f>
        <v>6.5</v>
      </c>
      <c r="F4" s="3">
        <v>1</v>
      </c>
      <c r="G4" s="6">
        <v>1.6</v>
      </c>
      <c r="H4" s="3">
        <v>2.4</v>
      </c>
    </row>
    <row r="5" spans="1:8" x14ac:dyDescent="0.35">
      <c r="A5" s="3" t="s">
        <v>17</v>
      </c>
      <c r="B5" s="3" t="s">
        <v>5</v>
      </c>
      <c r="C5" s="3">
        <v>85</v>
      </c>
      <c r="D5" s="3">
        <f t="shared" ref="D5:D9" si="0">IF(A5="A",VLOOKUP(C5,$F$3:$G$9,2,TRUE),VLOOKUP(C5,$F$3:$H$9,3,TRUE))</f>
        <v>2.4</v>
      </c>
      <c r="F5" s="3">
        <v>100</v>
      </c>
      <c r="G5" s="3">
        <v>6.5</v>
      </c>
      <c r="H5" s="3">
        <v>9.5</v>
      </c>
    </row>
    <row r="6" spans="1:8" x14ac:dyDescent="0.35">
      <c r="A6" s="3" t="s">
        <v>18</v>
      </c>
      <c r="B6" s="3" t="s">
        <v>6</v>
      </c>
      <c r="C6" s="3">
        <v>3240</v>
      </c>
      <c r="D6" s="3">
        <f t="shared" si="0"/>
        <v>28.4</v>
      </c>
      <c r="F6" s="3">
        <v>500</v>
      </c>
      <c r="G6" s="3">
        <v>9.8000000000000007</v>
      </c>
      <c r="H6" s="3">
        <v>14.5</v>
      </c>
    </row>
    <row r="7" spans="1:8" x14ac:dyDescent="0.35">
      <c r="A7" s="3" t="s">
        <v>15</v>
      </c>
      <c r="B7" s="3" t="s">
        <v>7</v>
      </c>
      <c r="C7" s="3">
        <v>125</v>
      </c>
      <c r="D7" s="3">
        <f t="shared" si="0"/>
        <v>6.5</v>
      </c>
      <c r="F7" s="3">
        <v>1000</v>
      </c>
      <c r="G7" s="3">
        <v>20.100000000000001</v>
      </c>
      <c r="H7" s="3">
        <v>28.4</v>
      </c>
    </row>
    <row r="8" spans="1:8" x14ac:dyDescent="0.35">
      <c r="A8" s="3" t="s">
        <v>16</v>
      </c>
      <c r="B8" s="3" t="s">
        <v>9</v>
      </c>
      <c r="C8" s="3">
        <v>34</v>
      </c>
      <c r="D8" s="3">
        <f t="shared" si="0"/>
        <v>2.4</v>
      </c>
      <c r="F8" s="3">
        <v>5000</v>
      </c>
      <c r="G8" s="3">
        <v>35.5</v>
      </c>
      <c r="H8" s="3">
        <v>40.4</v>
      </c>
    </row>
    <row r="9" spans="1:8" x14ac:dyDescent="0.35">
      <c r="A9" s="3" t="s">
        <v>15</v>
      </c>
      <c r="B9" s="3" t="s">
        <v>19</v>
      </c>
      <c r="C9" s="3">
        <v>2</v>
      </c>
      <c r="D9" s="3">
        <f t="shared" si="0"/>
        <v>1.6</v>
      </c>
      <c r="F9" s="3">
        <v>10000</v>
      </c>
      <c r="G9" s="3">
        <v>50.1</v>
      </c>
      <c r="H9" s="3">
        <v>55.1</v>
      </c>
    </row>
    <row r="10" spans="1:8" x14ac:dyDescent="0.35">
      <c r="F10" s="9"/>
      <c r="G10" s="9"/>
      <c r="H10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Inland</vt:lpstr>
      <vt:lpstr>Europa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Pichler Matthias</dc:creator>
  <cp:lastModifiedBy>Pichler Matthias</cp:lastModifiedBy>
  <dcterms:created xsi:type="dcterms:W3CDTF">2025-10-15T12:38:06Z</dcterms:created>
  <dcterms:modified xsi:type="dcterms:W3CDTF">2025-10-15T12:55:57Z</dcterms:modified>
</cp:coreProperties>
</file>