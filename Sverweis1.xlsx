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chule\Schule\Infi excel\"/>
    </mc:Choice>
  </mc:AlternateContent>
  <xr:revisionPtr revIDLastSave="0" documentId="13_ncr:1_{A0A199DD-C0FF-47CA-BEDD-1A524C7F1B9B}" xr6:coauthVersionLast="47" xr6:coauthVersionMax="47" xr10:uidLastSave="{00000000-0000-0000-0000-000000000000}"/>
  <bookViews>
    <workbookView xWindow="-110" yWindow="-110" windowWidth="19420" windowHeight="11500" activeTab="3" xr2:uid="{3F4C26F1-F641-4755-AFAF-B164DBCCB643}"/>
  </bookViews>
  <sheets>
    <sheet name="Akkulaufzeit" sheetId="1" r:id="rId1"/>
    <sheet name="Heizkosten" sheetId="3" r:id="rId2"/>
    <sheet name="Dienstplan1" sheetId="4" r:id="rId3"/>
    <sheet name="Dienstplan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5" l="1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16" i="5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13" i="4"/>
  <c r="G8" i="3"/>
  <c r="G9" i="3"/>
  <c r="G10" i="3"/>
  <c r="G11" i="3"/>
  <c r="G12" i="3"/>
  <c r="G13" i="3"/>
  <c r="G14" i="3"/>
  <c r="G15" i="3"/>
  <c r="G7" i="3"/>
  <c r="F8" i="3"/>
  <c r="F9" i="3"/>
  <c r="F10" i="3"/>
  <c r="F11" i="3"/>
  <c r="F12" i="3"/>
  <c r="F13" i="3"/>
  <c r="F14" i="3"/>
  <c r="F15" i="3"/>
  <c r="F7" i="3"/>
  <c r="G15" i="1"/>
</calcChain>
</file>

<file path=xl/sharedStrings.xml><?xml version="1.0" encoding="utf-8"?>
<sst xmlns="http://schemas.openxmlformats.org/spreadsheetml/2006/main" count="136" uniqueCount="72">
  <si>
    <t>Akkulaufzeit</t>
  </si>
  <si>
    <t>Handys</t>
  </si>
  <si>
    <t>Preis</t>
  </si>
  <si>
    <t>Gewicht</t>
  </si>
  <si>
    <t>iPhone1</t>
  </si>
  <si>
    <t>iPhone2</t>
  </si>
  <si>
    <t>iPhone3</t>
  </si>
  <si>
    <t>iPhone4</t>
  </si>
  <si>
    <t>iPhone5</t>
  </si>
  <si>
    <t>iPhone6</t>
  </si>
  <si>
    <t>Suchkriterium</t>
  </si>
  <si>
    <t xml:space="preserve">Heizkostenabrechnung </t>
  </si>
  <si>
    <t>Nr.</t>
  </si>
  <si>
    <t>Mieter</t>
  </si>
  <si>
    <t>Stock</t>
  </si>
  <si>
    <t>Heizkosten</t>
  </si>
  <si>
    <t>Liftgebühr</t>
  </si>
  <si>
    <t>Adrion</t>
  </si>
  <si>
    <t>Laabs</t>
  </si>
  <si>
    <t>Manz</t>
  </si>
  <si>
    <t>Mänzel</t>
  </si>
  <si>
    <t>Tac</t>
  </si>
  <si>
    <t>Teitz</t>
  </si>
  <si>
    <t>Teppner</t>
  </si>
  <si>
    <t>Uchida</t>
  </si>
  <si>
    <t>Wäber</t>
  </si>
  <si>
    <r>
      <t>Fläche in m</t>
    </r>
    <r>
      <rPr>
        <b/>
        <vertAlign val="superscript"/>
        <sz val="12"/>
        <color theme="1"/>
        <rFont val="Times New Roman"/>
        <family val="1"/>
      </rPr>
      <t>2</t>
    </r>
  </si>
  <si>
    <r>
      <t>Heizkosten ab m</t>
    </r>
    <r>
      <rPr>
        <b/>
        <vertAlign val="superscript"/>
        <sz val="12"/>
        <color theme="1"/>
        <rFont val="Times New Roman"/>
        <family val="1"/>
      </rPr>
      <t>2</t>
    </r>
  </si>
  <si>
    <t>Lifgebühr Stockabhängig</t>
  </si>
  <si>
    <t>Sverweis</t>
  </si>
  <si>
    <r>
      <rPr>
        <b/>
        <sz val="12"/>
        <color theme="8" tint="-0.249977111117893"/>
        <rFont val="Times New Roman"/>
        <family val="1"/>
      </rPr>
      <t>1. Suchkriterium</t>
    </r>
    <r>
      <rPr>
        <sz val="12"/>
        <color theme="1"/>
        <rFont val="Times New Roman"/>
        <family val="1"/>
      </rPr>
      <t xml:space="preserve"> - Was suchen wir? (z.B. Punkteanzahl)</t>
    </r>
  </si>
  <si>
    <r>
      <rPr>
        <b/>
        <sz val="12"/>
        <color theme="8" tint="-0.249977111117893"/>
        <rFont val="Times New Roman"/>
        <family val="1"/>
      </rPr>
      <t>2. Matrix</t>
    </r>
    <r>
      <rPr>
        <sz val="12"/>
        <color theme="1"/>
        <rFont val="Times New Roman"/>
        <family val="1"/>
      </rPr>
      <t xml:space="preserve"> = Wo suchen wir? (z.B. Notentabelle)</t>
    </r>
  </si>
  <si>
    <t xml:space="preserve">    Suchkriterium muss in der ersten Spalte sein!!</t>
  </si>
  <si>
    <r>
      <rPr>
        <b/>
        <sz val="12"/>
        <color theme="8" tint="-0.249977111117893"/>
        <rFont val="Times New Roman"/>
        <family val="1"/>
      </rPr>
      <t xml:space="preserve">3. Spaltenindex </t>
    </r>
    <r>
      <rPr>
        <sz val="12"/>
        <color theme="1"/>
        <rFont val="Times New Roman"/>
        <family val="1"/>
      </rPr>
      <t>- Was wird ausgegeben? (z.B. Spalte 2 für Note)</t>
    </r>
  </si>
  <si>
    <r>
      <rPr>
        <b/>
        <sz val="12"/>
        <color theme="8" tint="-0.249977111117893"/>
        <rFont val="Times New Roman"/>
        <family val="1"/>
      </rPr>
      <t>4. Falsch</t>
    </r>
    <r>
      <rPr>
        <sz val="12"/>
        <color theme="8" tint="-0.249977111117893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für genaue Übereinstimmung</t>
    </r>
  </si>
  <si>
    <r>
      <t xml:space="preserve">    </t>
    </r>
    <r>
      <rPr>
        <b/>
        <sz val="12"/>
        <color theme="8" tint="-0.249977111117893"/>
        <rFont val="Times New Roman"/>
        <family val="1"/>
      </rPr>
      <t>Wahr</t>
    </r>
    <r>
      <rPr>
        <sz val="12"/>
        <color theme="1"/>
        <rFont val="Times New Roman"/>
        <family val="1"/>
      </rPr>
      <t xml:space="preserve"> für ungenaue Übereinstimmung</t>
    </r>
  </si>
  <si>
    <t>Akku von iPhone5 hält</t>
  </si>
  <si>
    <t>Stunden.</t>
  </si>
  <si>
    <r>
      <rPr>
        <b/>
        <sz val="12"/>
        <color theme="1"/>
        <rFont val="Times New Roman"/>
        <family val="1"/>
      </rPr>
      <t>1. Lassen</t>
    </r>
    <r>
      <rPr>
        <sz val="12"/>
        <color theme="1"/>
        <rFont val="Times New Roman"/>
        <family val="1"/>
      </rPr>
      <t xml:space="preserve"> Sie sich die Heizkosten pro m² ausgeben.</t>
    </r>
  </si>
  <si>
    <r>
      <rPr>
        <b/>
        <sz val="12"/>
        <color theme="1"/>
        <rFont val="Times New Roman"/>
        <family val="1"/>
      </rPr>
      <t>2. Lassen</t>
    </r>
    <r>
      <rPr>
        <sz val="12"/>
        <color theme="1"/>
        <rFont val="Times New Roman"/>
        <family val="1"/>
      </rPr>
      <t xml:space="preserve"> Sie sich die Liftgebühr abhängig vom Stock ausgeben.</t>
    </r>
  </si>
  <si>
    <t>Dienstplan</t>
  </si>
  <si>
    <t>Dienst</t>
  </si>
  <si>
    <t>Stunden</t>
  </si>
  <si>
    <t>T</t>
  </si>
  <si>
    <t>N</t>
  </si>
  <si>
    <t>A</t>
  </si>
  <si>
    <t>B</t>
  </si>
  <si>
    <t>Datum</t>
  </si>
  <si>
    <t>Name</t>
  </si>
  <si>
    <t>Daniela</t>
  </si>
  <si>
    <t>Edeltraud</t>
  </si>
  <si>
    <t>Erwin</t>
  </si>
  <si>
    <t>Gabi</t>
  </si>
  <si>
    <t>Gertraud</t>
  </si>
  <si>
    <t>Tamara</t>
  </si>
  <si>
    <t>Christine</t>
  </si>
  <si>
    <t>Claudia</t>
  </si>
  <si>
    <t>Cornelia</t>
  </si>
  <si>
    <r>
      <rPr>
        <b/>
        <sz val="12"/>
        <color theme="1"/>
        <rFont val="Times New Roman"/>
        <family val="1"/>
      </rPr>
      <t>1. Je</t>
    </r>
    <r>
      <rPr>
        <sz val="12"/>
        <color theme="1"/>
        <rFont val="Times New Roman"/>
        <family val="1"/>
      </rPr>
      <t xml:space="preserve"> nach Dienst soll die jeweilige Stundenanzahl ausgegeben werden.</t>
    </r>
  </si>
  <si>
    <t>F</t>
  </si>
  <si>
    <t>S</t>
  </si>
  <si>
    <t>Ende</t>
  </si>
  <si>
    <t>Beginn</t>
  </si>
  <si>
    <t>Spät</t>
  </si>
  <si>
    <t>Früh</t>
  </si>
  <si>
    <t>Nacht</t>
  </si>
  <si>
    <t>Tag</t>
  </si>
  <si>
    <t>Kürzel</t>
  </si>
  <si>
    <r>
      <rPr>
        <b/>
        <sz val="12"/>
        <color theme="1"/>
        <rFont val="Times New Roman"/>
        <family val="1"/>
      </rPr>
      <t xml:space="preserve"> 1: Wie</t>
    </r>
    <r>
      <rPr>
        <sz val="12"/>
        <color theme="1"/>
        <rFont val="Times New Roman"/>
        <family val="1"/>
      </rPr>
      <t xml:space="preserve"> lang hält der Akku eines iPhone 5?</t>
    </r>
  </si>
  <si>
    <r>
      <rPr>
        <b/>
        <sz val="12"/>
        <color theme="1"/>
        <rFont val="Times New Roman"/>
        <family val="1"/>
      </rPr>
      <t>1. Je</t>
    </r>
    <r>
      <rPr>
        <sz val="12"/>
        <color theme="1"/>
        <rFont val="Times New Roman"/>
        <family val="1"/>
      </rPr>
      <t xml:space="preserve"> nach Dienst soll der jeweilige Beginn und das Ende ausgegeben werden. Achtung</t>
    </r>
  </si>
  <si>
    <t xml:space="preserve">    mit der Matrix, die Sie markieren. Das Suchkriterium muss in der Matrix immer in </t>
  </si>
  <si>
    <t xml:space="preserve">    der ersten Spalte zu finden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</si>
</sst>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7" formatCode="[$-F400]h:mm:ss\ AM/PM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8" tint="-0.249977111117893"/>
      <name val="Times New Roman"/>
      <family val="1"/>
    </font>
    <font>
      <sz val="12"/>
      <color theme="8" tint="-0.249977111117893"/>
      <name val="Times New Roman"/>
      <family val="1"/>
    </font>
    <font>
      <b/>
      <sz val="10"/>
      <name val="Arial"/>
      <family val="2"/>
    </font>
    <font>
      <b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gradientFill degree="90">
        <stop position="0">
          <color theme="0"/>
        </stop>
        <stop position="1">
          <color theme="4" tint="0.80001220740379042"/>
        </stop>
      </gradient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3" borderId="0" xfId="0" applyFont="1" applyFill="1"/>
    <xf numFmtId="0" fontId="3" fillId="4" borderId="11" xfId="0" applyFont="1" applyFill="1" applyBorder="1"/>
    <xf numFmtId="0" fontId="3" fillId="4" borderId="12" xfId="0" applyFont="1" applyFill="1" applyBorder="1"/>
    <xf numFmtId="0" fontId="3" fillId="4" borderId="13" xfId="0" applyFont="1" applyFill="1" applyBorder="1"/>
    <xf numFmtId="164" fontId="2" fillId="0" borderId="5" xfId="1" applyFont="1" applyBorder="1"/>
    <xf numFmtId="164" fontId="2" fillId="0" borderId="8" xfId="1" applyFont="1" applyBorder="1"/>
    <xf numFmtId="164" fontId="2" fillId="0" borderId="0" xfId="1" applyFont="1" applyBorder="1"/>
    <xf numFmtId="0" fontId="6" fillId="0" borderId="0" xfId="0" applyFont="1"/>
    <xf numFmtId="0" fontId="3" fillId="3" borderId="0" xfId="0" applyFont="1" applyFill="1"/>
    <xf numFmtId="0" fontId="0" fillId="0" borderId="14" xfId="0" applyBorder="1"/>
    <xf numFmtId="0" fontId="2" fillId="0" borderId="14" xfId="0" applyFont="1" applyBorder="1"/>
    <xf numFmtId="0" fontId="2" fillId="7" borderId="14" xfId="0" applyFont="1" applyFill="1" applyBorder="1"/>
    <xf numFmtId="0" fontId="0" fillId="0" borderId="16" xfId="0" applyBorder="1"/>
    <xf numFmtId="0" fontId="0" fillId="6" borderId="20" xfId="0" applyFill="1" applyBorder="1"/>
    <xf numFmtId="0" fontId="0" fillId="6" borderId="21" xfId="0" applyFill="1" applyBorder="1"/>
    <xf numFmtId="0" fontId="0" fillId="0" borderId="21" xfId="0" applyBorder="1"/>
    <xf numFmtId="0" fontId="0" fillId="0" borderId="22" xfId="0" applyBorder="1"/>
    <xf numFmtId="20" fontId="0" fillId="0" borderId="15" xfId="0" applyNumberFormat="1" applyBorder="1"/>
    <xf numFmtId="20" fontId="0" fillId="0" borderId="16" xfId="0" applyNumberFormat="1" applyBorder="1"/>
    <xf numFmtId="0" fontId="0" fillId="0" borderId="17" xfId="0" applyBorder="1"/>
    <xf numFmtId="20" fontId="0" fillId="0" borderId="18" xfId="0" applyNumberFormat="1" applyBorder="1"/>
    <xf numFmtId="20" fontId="0" fillId="0" borderId="14" xfId="0" applyNumberFormat="1" applyBorder="1"/>
    <xf numFmtId="0" fontId="0" fillId="0" borderId="19" xfId="0" applyBorder="1"/>
    <xf numFmtId="0" fontId="0" fillId="0" borderId="20" xfId="0" applyBorder="1"/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4" fontId="2" fillId="0" borderId="14" xfId="0" applyNumberFormat="1" applyFont="1" applyBorder="1" applyAlignment="1">
      <alignment vertical="top"/>
    </xf>
    <xf numFmtId="0" fontId="2" fillId="0" borderId="14" xfId="0" applyFont="1" applyBorder="1" applyAlignment="1">
      <alignment vertical="top"/>
    </xf>
    <xf numFmtId="14" fontId="0" fillId="0" borderId="19" xfId="0" applyNumberFormat="1" applyBorder="1" applyAlignment="1">
      <alignment vertical="top"/>
    </xf>
    <xf numFmtId="0" fontId="0" fillId="0" borderId="19" xfId="0" applyBorder="1" applyAlignment="1">
      <alignment vertical="top"/>
    </xf>
    <xf numFmtId="0" fontId="0" fillId="0" borderId="17" xfId="0" applyBorder="1" applyAlignment="1">
      <alignment vertical="top"/>
    </xf>
    <xf numFmtId="0" fontId="9" fillId="5" borderId="7" xfId="0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167" fontId="0" fillId="7" borderId="14" xfId="0" applyNumberFormat="1" applyFill="1" applyBorder="1"/>
    <xf numFmtId="167" fontId="0" fillId="7" borderId="18" xfId="0" applyNumberFormat="1" applyFill="1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11</xdr:row>
      <xdr:rowOff>9525</xdr:rowOff>
    </xdr:from>
    <xdr:to>
      <xdr:col>2</xdr:col>
      <xdr:colOff>495300</xdr:colOff>
      <xdr:row>12</xdr:row>
      <xdr:rowOff>19050</xdr:rowOff>
    </xdr:to>
    <xdr:sp macro="" textlink="">
      <xdr:nvSpPr>
        <xdr:cNvPr id="2" name="Oval 3">
          <a:extLst>
            <a:ext uri="{FF2B5EF4-FFF2-40B4-BE49-F238E27FC236}">
              <a16:creationId xmlns:a16="http://schemas.microsoft.com/office/drawing/2014/main" id="{03CEA6D9-D3FD-43AE-99E4-55C2A868ABF6}"/>
            </a:ext>
          </a:extLst>
        </xdr:cNvPr>
        <xdr:cNvSpPr>
          <a:spLocks noChangeArrowheads="1"/>
        </xdr:cNvSpPr>
      </xdr:nvSpPr>
      <xdr:spPr bwMode="auto">
        <a:xfrm>
          <a:off x="1447800" y="1638300"/>
          <a:ext cx="571500" cy="171450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E1" mc:Ignorable="a14" a14:legacySpreadsheetColorIndex="80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6F9A0-9824-4C86-8BFD-C546535D3B67}">
  <dimension ref="A1:J15"/>
  <sheetViews>
    <sheetView zoomScaleNormal="100" workbookViewId="0">
      <selection activeCell="G16" sqref="G16"/>
    </sheetView>
  </sheetViews>
  <sheetFormatPr baseColWidth="10" defaultColWidth="11.453125" defaultRowHeight="15.5" x14ac:dyDescent="0.35"/>
  <cols>
    <col min="1" max="1" width="13.1796875" style="1" customWidth="1"/>
    <col min="2" max="2" width="10.7265625" style="1" customWidth="1"/>
    <col min="3" max="3" width="8" style="1" customWidth="1"/>
    <col min="4" max="4" width="9.81640625" style="1" customWidth="1"/>
    <col min="5" max="5" width="13.453125" style="1" bestFit="1" customWidth="1"/>
    <col min="6" max="16384" width="11.453125" style="1"/>
  </cols>
  <sheetData>
    <row r="1" spans="1:10" x14ac:dyDescent="0.35">
      <c r="A1" s="1" t="s">
        <v>68</v>
      </c>
    </row>
    <row r="3" spans="1:10" x14ac:dyDescent="0.35">
      <c r="A3" s="2" t="s">
        <v>0</v>
      </c>
    </row>
    <row r="4" spans="1:10" ht="16" thickBot="1" x14ac:dyDescent="0.4">
      <c r="G4" s="2" t="s">
        <v>29</v>
      </c>
      <c r="J4" s="18"/>
    </row>
    <row r="5" spans="1:10" x14ac:dyDescent="0.35">
      <c r="B5" s="8" t="s">
        <v>1</v>
      </c>
      <c r="C5" s="9" t="s">
        <v>2</v>
      </c>
      <c r="D5" s="9" t="s">
        <v>3</v>
      </c>
      <c r="E5" s="10" t="s">
        <v>0</v>
      </c>
      <c r="H5" s="1" t="s">
        <v>30</v>
      </c>
      <c r="J5" s="18"/>
    </row>
    <row r="6" spans="1:10" x14ac:dyDescent="0.35">
      <c r="B6" s="3" t="s">
        <v>4</v>
      </c>
      <c r="C6" s="1">
        <v>100</v>
      </c>
      <c r="D6" s="1">
        <v>250</v>
      </c>
      <c r="E6" s="4">
        <v>3</v>
      </c>
      <c r="H6" s="1" t="s">
        <v>31</v>
      </c>
      <c r="J6" s="18"/>
    </row>
    <row r="7" spans="1:10" x14ac:dyDescent="0.35">
      <c r="B7" s="3" t="s">
        <v>5</v>
      </c>
      <c r="C7" s="1">
        <v>200</v>
      </c>
      <c r="D7" s="1">
        <v>240</v>
      </c>
      <c r="E7" s="4">
        <v>4</v>
      </c>
      <c r="H7" s="1" t="s">
        <v>32</v>
      </c>
      <c r="J7" s="18"/>
    </row>
    <row r="8" spans="1:10" x14ac:dyDescent="0.35">
      <c r="B8" s="3" t="s">
        <v>6</v>
      </c>
      <c r="C8" s="1">
        <v>300</v>
      </c>
      <c r="D8" s="1">
        <v>230</v>
      </c>
      <c r="E8" s="4">
        <v>5</v>
      </c>
      <c r="H8" s="1" t="s">
        <v>33</v>
      </c>
      <c r="J8" s="18"/>
    </row>
    <row r="9" spans="1:10" x14ac:dyDescent="0.35">
      <c r="B9" s="3" t="s">
        <v>7</v>
      </c>
      <c r="C9" s="1">
        <v>400</v>
      </c>
      <c r="D9" s="1">
        <v>220</v>
      </c>
      <c r="E9" s="4">
        <v>6</v>
      </c>
      <c r="H9" s="1" t="s">
        <v>34</v>
      </c>
      <c r="J9" s="18"/>
    </row>
    <row r="10" spans="1:10" x14ac:dyDescent="0.35">
      <c r="B10" s="3" t="s">
        <v>8</v>
      </c>
      <c r="C10" s="1">
        <v>500</v>
      </c>
      <c r="D10" s="1">
        <v>210</v>
      </c>
      <c r="E10" s="4">
        <v>7</v>
      </c>
      <c r="H10" s="1" t="s">
        <v>35</v>
      </c>
      <c r="J10" s="18"/>
    </row>
    <row r="11" spans="1:10" ht="16" thickBot="1" x14ac:dyDescent="0.4">
      <c r="B11" s="5" t="s">
        <v>9</v>
      </c>
      <c r="C11" s="6">
        <v>600</v>
      </c>
      <c r="D11" s="6">
        <v>200</v>
      </c>
      <c r="E11" s="7">
        <v>8</v>
      </c>
    </row>
    <row r="15" spans="1:10" x14ac:dyDescent="0.35">
      <c r="A15" s="1" t="s">
        <v>10</v>
      </c>
      <c r="B15" s="11" t="s">
        <v>8</v>
      </c>
      <c r="E15" s="2" t="s">
        <v>36</v>
      </c>
      <c r="F15" s="2"/>
      <c r="G15" s="19">
        <f>VLOOKUP(B15,B5:E11,4,)</f>
        <v>7</v>
      </c>
      <c r="H15" s="2" t="s">
        <v>37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BB226-43E9-4F19-B761-3B54BA3D48A3}">
  <dimension ref="A1:G23"/>
  <sheetViews>
    <sheetView zoomScale="85" zoomScaleNormal="85" workbookViewId="0">
      <selection activeCell="H13" sqref="H13"/>
    </sheetView>
  </sheetViews>
  <sheetFormatPr baseColWidth="10" defaultColWidth="11.453125" defaultRowHeight="15.5" x14ac:dyDescent="0.35"/>
  <cols>
    <col min="1" max="1" width="11.453125" style="1"/>
    <col min="2" max="2" width="7.54296875" style="1" customWidth="1"/>
    <col min="3" max="3" width="11.453125" style="1"/>
    <col min="4" max="4" width="13" style="1" customWidth="1"/>
    <col min="5" max="5" width="11.453125" style="1"/>
    <col min="6" max="6" width="11.1796875" style="1" bestFit="1" customWidth="1"/>
    <col min="7" max="7" width="13.1796875" style="1" customWidth="1"/>
    <col min="8" max="16384" width="11.453125" style="1"/>
  </cols>
  <sheetData>
    <row r="1" spans="1:7" x14ac:dyDescent="0.35">
      <c r="A1" s="1" t="s">
        <v>38</v>
      </c>
    </row>
    <row r="2" spans="1:7" x14ac:dyDescent="0.35">
      <c r="A2" s="1" t="s">
        <v>39</v>
      </c>
    </row>
    <row r="4" spans="1:7" x14ac:dyDescent="0.35">
      <c r="A4" s="2" t="s">
        <v>11</v>
      </c>
    </row>
    <row r="5" spans="1:7" ht="16" thickBot="1" x14ac:dyDescent="0.4"/>
    <row r="6" spans="1:7" ht="19" thickBot="1" x14ac:dyDescent="0.4">
      <c r="B6" s="12" t="s">
        <v>12</v>
      </c>
      <c r="C6" s="13" t="s">
        <v>13</v>
      </c>
      <c r="D6" s="13" t="s">
        <v>26</v>
      </c>
      <c r="E6" s="13" t="s">
        <v>14</v>
      </c>
      <c r="F6" s="13" t="s">
        <v>15</v>
      </c>
      <c r="G6" s="14" t="s">
        <v>16</v>
      </c>
    </row>
    <row r="7" spans="1:7" x14ac:dyDescent="0.35">
      <c r="B7" s="3">
        <v>1</v>
      </c>
      <c r="C7" s="1" t="s">
        <v>17</v>
      </c>
      <c r="D7" s="1">
        <v>70</v>
      </c>
      <c r="E7" s="1">
        <v>2</v>
      </c>
      <c r="F7" s="17">
        <f>VLOOKUP(D7,$C$17:$D$22,2,TRUE)</f>
        <v>88</v>
      </c>
      <c r="G7" s="15">
        <f>VLOOKUP(E7,$F$17:$G$23,2,TRUE)</f>
        <v>30</v>
      </c>
    </row>
    <row r="8" spans="1:7" x14ac:dyDescent="0.35">
      <c r="B8" s="3">
        <v>2</v>
      </c>
      <c r="C8" s="1" t="s">
        <v>18</v>
      </c>
      <c r="D8" s="1">
        <v>50</v>
      </c>
      <c r="E8" s="1">
        <v>3</v>
      </c>
      <c r="F8" s="17">
        <f t="shared" ref="F8:F15" si="0">VLOOKUP(D8,$C$17:$D$22,2,TRUE)</f>
        <v>66</v>
      </c>
      <c r="G8" s="15">
        <f t="shared" ref="G8:G15" si="1">VLOOKUP(E8,$F$17:$G$23,2,TRUE)</f>
        <v>30</v>
      </c>
    </row>
    <row r="9" spans="1:7" x14ac:dyDescent="0.35">
      <c r="B9" s="3">
        <v>3</v>
      </c>
      <c r="C9" s="1" t="s">
        <v>19</v>
      </c>
      <c r="D9" s="1">
        <v>30</v>
      </c>
      <c r="E9" s="1">
        <v>4</v>
      </c>
      <c r="F9" s="17">
        <f t="shared" si="0"/>
        <v>49</v>
      </c>
      <c r="G9" s="15">
        <f t="shared" si="1"/>
        <v>40</v>
      </c>
    </row>
    <row r="10" spans="1:7" x14ac:dyDescent="0.35">
      <c r="B10" s="3">
        <v>4</v>
      </c>
      <c r="C10" s="1" t="s">
        <v>20</v>
      </c>
      <c r="D10" s="1">
        <v>90</v>
      </c>
      <c r="E10" s="1">
        <v>1</v>
      </c>
      <c r="F10" s="17">
        <f t="shared" si="0"/>
        <v>100</v>
      </c>
      <c r="G10" s="15">
        <f t="shared" si="1"/>
        <v>10</v>
      </c>
    </row>
    <row r="11" spans="1:7" x14ac:dyDescent="0.35">
      <c r="B11" s="3">
        <v>5</v>
      </c>
      <c r="C11" s="1" t="s">
        <v>21</v>
      </c>
      <c r="D11" s="1">
        <v>110</v>
      </c>
      <c r="E11" s="1">
        <v>2</v>
      </c>
      <c r="F11" s="17">
        <f t="shared" si="0"/>
        <v>169</v>
      </c>
      <c r="G11" s="15">
        <f t="shared" si="1"/>
        <v>30</v>
      </c>
    </row>
    <row r="12" spans="1:7" x14ac:dyDescent="0.35">
      <c r="B12" s="3">
        <v>6</v>
      </c>
      <c r="C12" s="1" t="s">
        <v>22</v>
      </c>
      <c r="D12" s="1">
        <v>70</v>
      </c>
      <c r="E12" s="1">
        <v>6</v>
      </c>
      <c r="F12" s="17">
        <f t="shared" si="0"/>
        <v>88</v>
      </c>
      <c r="G12" s="15">
        <f t="shared" si="1"/>
        <v>60</v>
      </c>
    </row>
    <row r="13" spans="1:7" x14ac:dyDescent="0.35">
      <c r="B13" s="3">
        <v>7</v>
      </c>
      <c r="C13" s="1" t="s">
        <v>23</v>
      </c>
      <c r="D13" s="1">
        <v>30</v>
      </c>
      <c r="E13" s="1">
        <v>5</v>
      </c>
      <c r="F13" s="17">
        <f t="shared" si="0"/>
        <v>49</v>
      </c>
      <c r="G13" s="15">
        <f t="shared" si="1"/>
        <v>50</v>
      </c>
    </row>
    <row r="14" spans="1:7" x14ac:dyDescent="0.35">
      <c r="B14" s="3">
        <v>8</v>
      </c>
      <c r="C14" s="1" t="s">
        <v>24</v>
      </c>
      <c r="D14" s="1">
        <v>30</v>
      </c>
      <c r="E14" s="1">
        <v>6</v>
      </c>
      <c r="F14" s="17">
        <f t="shared" si="0"/>
        <v>49</v>
      </c>
      <c r="G14" s="15">
        <f t="shared" si="1"/>
        <v>60</v>
      </c>
    </row>
    <row r="15" spans="1:7" ht="16" thickBot="1" x14ac:dyDescent="0.4">
      <c r="B15" s="5">
        <v>9</v>
      </c>
      <c r="C15" s="6" t="s">
        <v>25</v>
      </c>
      <c r="D15" s="6">
        <v>50</v>
      </c>
      <c r="E15" s="6">
        <v>1</v>
      </c>
      <c r="F15" s="17">
        <f t="shared" si="0"/>
        <v>66</v>
      </c>
      <c r="G15" s="15">
        <f t="shared" si="1"/>
        <v>10</v>
      </c>
    </row>
    <row r="16" spans="1:7" ht="16" thickBot="1" x14ac:dyDescent="0.4"/>
    <row r="17" spans="3:7" ht="19" thickBot="1" x14ac:dyDescent="0.4">
      <c r="C17" s="35" t="s">
        <v>27</v>
      </c>
      <c r="D17" s="36"/>
      <c r="F17" s="37" t="s">
        <v>28</v>
      </c>
      <c r="G17" s="38"/>
    </row>
    <row r="18" spans="3:7" x14ac:dyDescent="0.35">
      <c r="C18" s="3">
        <v>30</v>
      </c>
      <c r="D18" s="15">
        <v>49</v>
      </c>
      <c r="F18" s="3">
        <v>1</v>
      </c>
      <c r="G18" s="15">
        <v>10</v>
      </c>
    </row>
    <row r="19" spans="3:7" x14ac:dyDescent="0.35">
      <c r="C19" s="3">
        <v>50</v>
      </c>
      <c r="D19" s="15">
        <v>66</v>
      </c>
      <c r="F19" s="3">
        <v>2</v>
      </c>
      <c r="G19" s="15">
        <v>30</v>
      </c>
    </row>
    <row r="20" spans="3:7" x14ac:dyDescent="0.35">
      <c r="C20" s="3">
        <v>70</v>
      </c>
      <c r="D20" s="15">
        <v>88</v>
      </c>
      <c r="F20" s="3">
        <v>3</v>
      </c>
      <c r="G20" s="15">
        <v>30</v>
      </c>
    </row>
    <row r="21" spans="3:7" x14ac:dyDescent="0.35">
      <c r="C21" s="3">
        <v>90</v>
      </c>
      <c r="D21" s="15">
        <v>100</v>
      </c>
      <c r="F21" s="3">
        <v>4</v>
      </c>
      <c r="G21" s="15">
        <v>40</v>
      </c>
    </row>
    <row r="22" spans="3:7" ht="16" thickBot="1" x14ac:dyDescent="0.4">
      <c r="C22" s="5">
        <v>110</v>
      </c>
      <c r="D22" s="16">
        <v>169</v>
      </c>
      <c r="F22" s="3">
        <v>5</v>
      </c>
      <c r="G22" s="15">
        <v>50</v>
      </c>
    </row>
    <row r="23" spans="3:7" ht="16" thickBot="1" x14ac:dyDescent="0.4">
      <c r="F23" s="5">
        <v>6</v>
      </c>
      <c r="G23" s="16">
        <v>60</v>
      </c>
    </row>
  </sheetData>
  <mergeCells count="2">
    <mergeCell ref="C17:D17"/>
    <mergeCell ref="F17:G17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1F881-6CDF-4BF5-A6AD-1F2E8E303B59}">
  <dimension ref="A1:G27"/>
  <sheetViews>
    <sheetView zoomScale="70" zoomScaleNormal="70" workbookViewId="0">
      <selection activeCell="E17" sqref="E17"/>
    </sheetView>
  </sheetViews>
  <sheetFormatPr baseColWidth="10" defaultRowHeight="15.5" x14ac:dyDescent="0.35"/>
  <cols>
    <col min="1" max="4" width="11.453125" style="1"/>
    <col min="5" max="5" width="11.26953125" style="1" customWidth="1"/>
    <col min="6" max="6" width="11.453125" style="1"/>
    <col min="7" max="7" width="11.26953125" style="1" customWidth="1"/>
    <col min="8" max="260" width="11.453125" style="1"/>
    <col min="261" max="261" width="11.26953125" style="1" customWidth="1"/>
    <col min="262" max="262" width="11.453125" style="1"/>
    <col min="263" max="263" width="11.26953125" style="1" customWidth="1"/>
    <col min="264" max="516" width="11.453125" style="1"/>
    <col min="517" max="517" width="11.26953125" style="1" customWidth="1"/>
    <col min="518" max="518" width="11.453125" style="1"/>
    <col min="519" max="519" width="11.26953125" style="1" customWidth="1"/>
    <col min="520" max="772" width="11.453125" style="1"/>
    <col min="773" max="773" width="11.26953125" style="1" customWidth="1"/>
    <col min="774" max="774" width="11.453125" style="1"/>
    <col min="775" max="775" width="11.26953125" style="1" customWidth="1"/>
    <col min="776" max="1028" width="11.453125" style="1"/>
    <col min="1029" max="1029" width="11.26953125" style="1" customWidth="1"/>
    <col min="1030" max="1030" width="11.453125" style="1"/>
    <col min="1031" max="1031" width="11.26953125" style="1" customWidth="1"/>
    <col min="1032" max="1284" width="11.453125" style="1"/>
    <col min="1285" max="1285" width="11.26953125" style="1" customWidth="1"/>
    <col min="1286" max="1286" width="11.453125" style="1"/>
    <col min="1287" max="1287" width="11.26953125" style="1" customWidth="1"/>
    <col min="1288" max="1540" width="11.453125" style="1"/>
    <col min="1541" max="1541" width="11.26953125" style="1" customWidth="1"/>
    <col min="1542" max="1542" width="11.453125" style="1"/>
    <col min="1543" max="1543" width="11.26953125" style="1" customWidth="1"/>
    <col min="1544" max="1796" width="11.453125" style="1"/>
    <col min="1797" max="1797" width="11.26953125" style="1" customWidth="1"/>
    <col min="1798" max="1798" width="11.453125" style="1"/>
    <col min="1799" max="1799" width="11.26953125" style="1" customWidth="1"/>
    <col min="1800" max="2052" width="11.453125" style="1"/>
    <col min="2053" max="2053" width="11.26953125" style="1" customWidth="1"/>
    <col min="2054" max="2054" width="11.453125" style="1"/>
    <col min="2055" max="2055" width="11.26953125" style="1" customWidth="1"/>
    <col min="2056" max="2308" width="11.453125" style="1"/>
    <col min="2309" max="2309" width="11.26953125" style="1" customWidth="1"/>
    <col min="2310" max="2310" width="11.453125" style="1"/>
    <col min="2311" max="2311" width="11.26953125" style="1" customWidth="1"/>
    <col min="2312" max="2564" width="11.453125" style="1"/>
    <col min="2565" max="2565" width="11.26953125" style="1" customWidth="1"/>
    <col min="2566" max="2566" width="11.453125" style="1"/>
    <col min="2567" max="2567" width="11.26953125" style="1" customWidth="1"/>
    <col min="2568" max="2820" width="11.453125" style="1"/>
    <col min="2821" max="2821" width="11.26953125" style="1" customWidth="1"/>
    <col min="2822" max="2822" width="11.453125" style="1"/>
    <col min="2823" max="2823" width="11.26953125" style="1" customWidth="1"/>
    <col min="2824" max="3076" width="11.453125" style="1"/>
    <col min="3077" max="3077" width="11.26953125" style="1" customWidth="1"/>
    <col min="3078" max="3078" width="11.453125" style="1"/>
    <col min="3079" max="3079" width="11.26953125" style="1" customWidth="1"/>
    <col min="3080" max="3332" width="11.453125" style="1"/>
    <col min="3333" max="3333" width="11.26953125" style="1" customWidth="1"/>
    <col min="3334" max="3334" width="11.453125" style="1"/>
    <col min="3335" max="3335" width="11.26953125" style="1" customWidth="1"/>
    <col min="3336" max="3588" width="11.453125" style="1"/>
    <col min="3589" max="3589" width="11.26953125" style="1" customWidth="1"/>
    <col min="3590" max="3590" width="11.453125" style="1"/>
    <col min="3591" max="3591" width="11.26953125" style="1" customWidth="1"/>
    <col min="3592" max="3844" width="11.453125" style="1"/>
    <col min="3845" max="3845" width="11.26953125" style="1" customWidth="1"/>
    <col min="3846" max="3846" width="11.453125" style="1"/>
    <col min="3847" max="3847" width="11.26953125" style="1" customWidth="1"/>
    <col min="3848" max="4100" width="11.453125" style="1"/>
    <col min="4101" max="4101" width="11.26953125" style="1" customWidth="1"/>
    <col min="4102" max="4102" width="11.453125" style="1"/>
    <col min="4103" max="4103" width="11.26953125" style="1" customWidth="1"/>
    <col min="4104" max="4356" width="11.453125" style="1"/>
    <col min="4357" max="4357" width="11.26953125" style="1" customWidth="1"/>
    <col min="4358" max="4358" width="11.453125" style="1"/>
    <col min="4359" max="4359" width="11.26953125" style="1" customWidth="1"/>
    <col min="4360" max="4612" width="11.453125" style="1"/>
    <col min="4613" max="4613" width="11.26953125" style="1" customWidth="1"/>
    <col min="4614" max="4614" width="11.453125" style="1"/>
    <col min="4615" max="4615" width="11.26953125" style="1" customWidth="1"/>
    <col min="4616" max="4868" width="11.453125" style="1"/>
    <col min="4869" max="4869" width="11.26953125" style="1" customWidth="1"/>
    <col min="4870" max="4870" width="11.453125" style="1"/>
    <col min="4871" max="4871" width="11.26953125" style="1" customWidth="1"/>
    <col min="4872" max="5124" width="11.453125" style="1"/>
    <col min="5125" max="5125" width="11.26953125" style="1" customWidth="1"/>
    <col min="5126" max="5126" width="11.453125" style="1"/>
    <col min="5127" max="5127" width="11.26953125" style="1" customWidth="1"/>
    <col min="5128" max="5380" width="11.453125" style="1"/>
    <col min="5381" max="5381" width="11.26953125" style="1" customWidth="1"/>
    <col min="5382" max="5382" width="11.453125" style="1"/>
    <col min="5383" max="5383" width="11.26953125" style="1" customWidth="1"/>
    <col min="5384" max="5636" width="11.453125" style="1"/>
    <col min="5637" max="5637" width="11.26953125" style="1" customWidth="1"/>
    <col min="5638" max="5638" width="11.453125" style="1"/>
    <col min="5639" max="5639" width="11.26953125" style="1" customWidth="1"/>
    <col min="5640" max="5892" width="11.453125" style="1"/>
    <col min="5893" max="5893" width="11.26953125" style="1" customWidth="1"/>
    <col min="5894" max="5894" width="11.453125" style="1"/>
    <col min="5895" max="5895" width="11.26953125" style="1" customWidth="1"/>
    <col min="5896" max="6148" width="11.453125" style="1"/>
    <col min="6149" max="6149" width="11.26953125" style="1" customWidth="1"/>
    <col min="6150" max="6150" width="11.453125" style="1"/>
    <col min="6151" max="6151" width="11.26953125" style="1" customWidth="1"/>
    <col min="6152" max="6404" width="11.453125" style="1"/>
    <col min="6405" max="6405" width="11.26953125" style="1" customWidth="1"/>
    <col min="6406" max="6406" width="11.453125" style="1"/>
    <col min="6407" max="6407" width="11.26953125" style="1" customWidth="1"/>
    <col min="6408" max="6660" width="11.453125" style="1"/>
    <col min="6661" max="6661" width="11.26953125" style="1" customWidth="1"/>
    <col min="6662" max="6662" width="11.453125" style="1"/>
    <col min="6663" max="6663" width="11.26953125" style="1" customWidth="1"/>
    <col min="6664" max="6916" width="11.453125" style="1"/>
    <col min="6917" max="6917" width="11.26953125" style="1" customWidth="1"/>
    <col min="6918" max="6918" width="11.453125" style="1"/>
    <col min="6919" max="6919" width="11.26953125" style="1" customWidth="1"/>
    <col min="6920" max="7172" width="11.453125" style="1"/>
    <col min="7173" max="7173" width="11.26953125" style="1" customWidth="1"/>
    <col min="7174" max="7174" width="11.453125" style="1"/>
    <col min="7175" max="7175" width="11.26953125" style="1" customWidth="1"/>
    <col min="7176" max="7428" width="11.453125" style="1"/>
    <col min="7429" max="7429" width="11.26953125" style="1" customWidth="1"/>
    <col min="7430" max="7430" width="11.453125" style="1"/>
    <col min="7431" max="7431" width="11.26953125" style="1" customWidth="1"/>
    <col min="7432" max="7684" width="11.453125" style="1"/>
    <col min="7685" max="7685" width="11.26953125" style="1" customWidth="1"/>
    <col min="7686" max="7686" width="11.453125" style="1"/>
    <col min="7687" max="7687" width="11.26953125" style="1" customWidth="1"/>
    <col min="7688" max="7940" width="11.453125" style="1"/>
    <col min="7941" max="7941" width="11.26953125" style="1" customWidth="1"/>
    <col min="7942" max="7942" width="11.453125" style="1"/>
    <col min="7943" max="7943" width="11.26953125" style="1" customWidth="1"/>
    <col min="7944" max="8196" width="11.453125" style="1"/>
    <col min="8197" max="8197" width="11.26953125" style="1" customWidth="1"/>
    <col min="8198" max="8198" width="11.453125" style="1"/>
    <col min="8199" max="8199" width="11.26953125" style="1" customWidth="1"/>
    <col min="8200" max="8452" width="11.453125" style="1"/>
    <col min="8453" max="8453" width="11.26953125" style="1" customWidth="1"/>
    <col min="8454" max="8454" width="11.453125" style="1"/>
    <col min="8455" max="8455" width="11.26953125" style="1" customWidth="1"/>
    <col min="8456" max="8708" width="11.453125" style="1"/>
    <col min="8709" max="8709" width="11.26953125" style="1" customWidth="1"/>
    <col min="8710" max="8710" width="11.453125" style="1"/>
    <col min="8711" max="8711" width="11.26953125" style="1" customWidth="1"/>
    <col min="8712" max="8964" width="11.453125" style="1"/>
    <col min="8965" max="8965" width="11.26953125" style="1" customWidth="1"/>
    <col min="8966" max="8966" width="11.453125" style="1"/>
    <col min="8967" max="8967" width="11.26953125" style="1" customWidth="1"/>
    <col min="8968" max="9220" width="11.453125" style="1"/>
    <col min="9221" max="9221" width="11.26953125" style="1" customWidth="1"/>
    <col min="9222" max="9222" width="11.453125" style="1"/>
    <col min="9223" max="9223" width="11.26953125" style="1" customWidth="1"/>
    <col min="9224" max="9476" width="11.453125" style="1"/>
    <col min="9477" max="9477" width="11.26953125" style="1" customWidth="1"/>
    <col min="9478" max="9478" width="11.453125" style="1"/>
    <col min="9479" max="9479" width="11.26953125" style="1" customWidth="1"/>
    <col min="9480" max="9732" width="11.453125" style="1"/>
    <col min="9733" max="9733" width="11.26953125" style="1" customWidth="1"/>
    <col min="9734" max="9734" width="11.453125" style="1"/>
    <col min="9735" max="9735" width="11.26953125" style="1" customWidth="1"/>
    <col min="9736" max="9988" width="11.453125" style="1"/>
    <col min="9989" max="9989" width="11.26953125" style="1" customWidth="1"/>
    <col min="9990" max="9990" width="11.453125" style="1"/>
    <col min="9991" max="9991" width="11.26953125" style="1" customWidth="1"/>
    <col min="9992" max="10244" width="11.453125" style="1"/>
    <col min="10245" max="10245" width="11.26953125" style="1" customWidth="1"/>
    <col min="10246" max="10246" width="11.453125" style="1"/>
    <col min="10247" max="10247" width="11.26953125" style="1" customWidth="1"/>
    <col min="10248" max="10500" width="11.453125" style="1"/>
    <col min="10501" max="10501" width="11.26953125" style="1" customWidth="1"/>
    <col min="10502" max="10502" width="11.453125" style="1"/>
    <col min="10503" max="10503" width="11.26953125" style="1" customWidth="1"/>
    <col min="10504" max="10756" width="11.453125" style="1"/>
    <col min="10757" max="10757" width="11.26953125" style="1" customWidth="1"/>
    <col min="10758" max="10758" width="11.453125" style="1"/>
    <col min="10759" max="10759" width="11.26953125" style="1" customWidth="1"/>
    <col min="10760" max="11012" width="11.453125" style="1"/>
    <col min="11013" max="11013" width="11.26953125" style="1" customWidth="1"/>
    <col min="11014" max="11014" width="11.453125" style="1"/>
    <col min="11015" max="11015" width="11.26953125" style="1" customWidth="1"/>
    <col min="11016" max="11268" width="11.453125" style="1"/>
    <col min="11269" max="11269" width="11.26953125" style="1" customWidth="1"/>
    <col min="11270" max="11270" width="11.453125" style="1"/>
    <col min="11271" max="11271" width="11.26953125" style="1" customWidth="1"/>
    <col min="11272" max="11524" width="11.453125" style="1"/>
    <col min="11525" max="11525" width="11.26953125" style="1" customWidth="1"/>
    <col min="11526" max="11526" width="11.453125" style="1"/>
    <col min="11527" max="11527" width="11.26953125" style="1" customWidth="1"/>
    <col min="11528" max="11780" width="11.453125" style="1"/>
    <col min="11781" max="11781" width="11.26953125" style="1" customWidth="1"/>
    <col min="11782" max="11782" width="11.453125" style="1"/>
    <col min="11783" max="11783" width="11.26953125" style="1" customWidth="1"/>
    <col min="11784" max="12036" width="11.453125" style="1"/>
    <col min="12037" max="12037" width="11.26953125" style="1" customWidth="1"/>
    <col min="12038" max="12038" width="11.453125" style="1"/>
    <col min="12039" max="12039" width="11.26953125" style="1" customWidth="1"/>
    <col min="12040" max="12292" width="11.453125" style="1"/>
    <col min="12293" max="12293" width="11.26953125" style="1" customWidth="1"/>
    <col min="12294" max="12294" width="11.453125" style="1"/>
    <col min="12295" max="12295" width="11.26953125" style="1" customWidth="1"/>
    <col min="12296" max="12548" width="11.453125" style="1"/>
    <col min="12549" max="12549" width="11.26953125" style="1" customWidth="1"/>
    <col min="12550" max="12550" width="11.453125" style="1"/>
    <col min="12551" max="12551" width="11.26953125" style="1" customWidth="1"/>
    <col min="12552" max="12804" width="11.453125" style="1"/>
    <col min="12805" max="12805" width="11.26953125" style="1" customWidth="1"/>
    <col min="12806" max="12806" width="11.453125" style="1"/>
    <col min="12807" max="12807" width="11.26953125" style="1" customWidth="1"/>
    <col min="12808" max="13060" width="11.453125" style="1"/>
    <col min="13061" max="13061" width="11.26953125" style="1" customWidth="1"/>
    <col min="13062" max="13062" width="11.453125" style="1"/>
    <col min="13063" max="13063" width="11.26953125" style="1" customWidth="1"/>
    <col min="13064" max="13316" width="11.453125" style="1"/>
    <col min="13317" max="13317" width="11.26953125" style="1" customWidth="1"/>
    <col min="13318" max="13318" width="11.453125" style="1"/>
    <col min="13319" max="13319" width="11.26953125" style="1" customWidth="1"/>
    <col min="13320" max="13572" width="11.453125" style="1"/>
    <col min="13573" max="13573" width="11.26953125" style="1" customWidth="1"/>
    <col min="13574" max="13574" width="11.453125" style="1"/>
    <col min="13575" max="13575" width="11.26953125" style="1" customWidth="1"/>
    <col min="13576" max="13828" width="11.453125" style="1"/>
    <col min="13829" max="13829" width="11.26953125" style="1" customWidth="1"/>
    <col min="13830" max="13830" width="11.453125" style="1"/>
    <col min="13831" max="13831" width="11.26953125" style="1" customWidth="1"/>
    <col min="13832" max="14084" width="11.453125" style="1"/>
    <col min="14085" max="14085" width="11.26953125" style="1" customWidth="1"/>
    <col min="14086" max="14086" width="11.453125" style="1"/>
    <col min="14087" max="14087" width="11.26953125" style="1" customWidth="1"/>
    <col min="14088" max="14340" width="11.453125" style="1"/>
    <col min="14341" max="14341" width="11.26953125" style="1" customWidth="1"/>
    <col min="14342" max="14342" width="11.453125" style="1"/>
    <col min="14343" max="14343" width="11.26953125" style="1" customWidth="1"/>
    <col min="14344" max="14596" width="11.453125" style="1"/>
    <col min="14597" max="14597" width="11.26953125" style="1" customWidth="1"/>
    <col min="14598" max="14598" width="11.453125" style="1"/>
    <col min="14599" max="14599" width="11.26953125" style="1" customWidth="1"/>
    <col min="14600" max="14852" width="11.453125" style="1"/>
    <col min="14853" max="14853" width="11.26953125" style="1" customWidth="1"/>
    <col min="14854" max="14854" width="11.453125" style="1"/>
    <col min="14855" max="14855" width="11.26953125" style="1" customWidth="1"/>
    <col min="14856" max="15108" width="11.453125" style="1"/>
    <col min="15109" max="15109" width="11.26953125" style="1" customWidth="1"/>
    <col min="15110" max="15110" width="11.453125" style="1"/>
    <col min="15111" max="15111" width="11.26953125" style="1" customWidth="1"/>
    <col min="15112" max="15364" width="11.453125" style="1"/>
    <col min="15365" max="15365" width="11.26953125" style="1" customWidth="1"/>
    <col min="15366" max="15366" width="11.453125" style="1"/>
    <col min="15367" max="15367" width="11.26953125" style="1" customWidth="1"/>
    <col min="15368" max="15620" width="11.453125" style="1"/>
    <col min="15621" max="15621" width="11.26953125" style="1" customWidth="1"/>
    <col min="15622" max="15622" width="11.453125" style="1"/>
    <col min="15623" max="15623" width="11.26953125" style="1" customWidth="1"/>
    <col min="15624" max="15876" width="11.453125" style="1"/>
    <col min="15877" max="15877" width="11.26953125" style="1" customWidth="1"/>
    <col min="15878" max="15878" width="11.453125" style="1"/>
    <col min="15879" max="15879" width="11.26953125" style="1" customWidth="1"/>
    <col min="15880" max="16132" width="11.453125" style="1"/>
    <col min="16133" max="16133" width="11.26953125" style="1" customWidth="1"/>
    <col min="16134" max="16134" width="11.453125" style="1"/>
    <col min="16135" max="16135" width="11.26953125" style="1" customWidth="1"/>
    <col min="16136" max="16384" width="11.453125" style="1"/>
  </cols>
  <sheetData>
    <row r="1" spans="1:7" x14ac:dyDescent="0.35">
      <c r="A1" s="1" t="s">
        <v>58</v>
      </c>
    </row>
    <row r="3" spans="1:7" ht="16" thickBot="1" x14ac:dyDescent="0.4">
      <c r="A3" s="39" t="s">
        <v>40</v>
      </c>
      <c r="B3" s="40"/>
      <c r="C3" s="40"/>
      <c r="D3" s="40"/>
      <c r="E3" s="40"/>
      <c r="F3" s="40"/>
      <c r="G3" s="40"/>
    </row>
    <row r="5" spans="1:7" x14ac:dyDescent="0.35">
      <c r="A5" s="21" t="s">
        <v>41</v>
      </c>
      <c r="B5" s="21" t="s">
        <v>42</v>
      </c>
    </row>
    <row r="6" spans="1:7" x14ac:dyDescent="0.35">
      <c r="A6" s="21" t="s">
        <v>43</v>
      </c>
      <c r="B6" s="21">
        <v>8</v>
      </c>
    </row>
    <row r="7" spans="1:7" x14ac:dyDescent="0.35">
      <c r="A7" s="21" t="s">
        <v>44</v>
      </c>
      <c r="B7" s="21">
        <v>9.5</v>
      </c>
    </row>
    <row r="8" spans="1:7" x14ac:dyDescent="0.35">
      <c r="A8" s="21" t="s">
        <v>45</v>
      </c>
      <c r="B8" s="21">
        <v>7</v>
      </c>
    </row>
    <row r="9" spans="1:7" x14ac:dyDescent="0.35">
      <c r="A9" s="21" t="s">
        <v>46</v>
      </c>
      <c r="B9" s="21">
        <v>12</v>
      </c>
    </row>
    <row r="12" spans="1:7" x14ac:dyDescent="0.35">
      <c r="A12" s="21" t="s">
        <v>47</v>
      </c>
      <c r="B12" s="21" t="s">
        <v>48</v>
      </c>
      <c r="C12" s="21" t="s">
        <v>41</v>
      </c>
      <c r="D12" s="21" t="s">
        <v>42</v>
      </c>
    </row>
    <row r="13" spans="1:7" x14ac:dyDescent="0.35">
      <c r="A13" s="41">
        <v>37678</v>
      </c>
      <c r="B13" s="21" t="s">
        <v>49</v>
      </c>
      <c r="C13" s="21" t="s">
        <v>43</v>
      </c>
      <c r="D13" s="22">
        <f>VLOOKUP(C13,$A$6:$B$9,2,FALSE)</f>
        <v>8</v>
      </c>
    </row>
    <row r="14" spans="1:7" x14ac:dyDescent="0.35">
      <c r="A14" s="42"/>
      <c r="B14" s="21" t="s">
        <v>50</v>
      </c>
      <c r="C14" s="21" t="s">
        <v>44</v>
      </c>
      <c r="D14" s="22">
        <f t="shared" ref="D14:D27" si="0">VLOOKUP(C14,$A$6:$B$9,2,FALSE)</f>
        <v>9.5</v>
      </c>
    </row>
    <row r="15" spans="1:7" x14ac:dyDescent="0.35">
      <c r="A15" s="42"/>
      <c r="B15" s="21" t="s">
        <v>51</v>
      </c>
      <c r="C15" s="21" t="s">
        <v>45</v>
      </c>
      <c r="D15" s="22">
        <f t="shared" si="0"/>
        <v>7</v>
      </c>
    </row>
    <row r="16" spans="1:7" x14ac:dyDescent="0.35">
      <c r="A16" s="42"/>
      <c r="B16" s="21" t="s">
        <v>52</v>
      </c>
      <c r="C16" s="21" t="s">
        <v>46</v>
      </c>
      <c r="D16" s="22">
        <f t="shared" si="0"/>
        <v>12</v>
      </c>
    </row>
    <row r="17" spans="1:4" x14ac:dyDescent="0.35">
      <c r="A17" s="42"/>
      <c r="B17" s="21" t="s">
        <v>53</v>
      </c>
      <c r="C17" s="21" t="s">
        <v>43</v>
      </c>
      <c r="D17" s="22">
        <f t="shared" si="0"/>
        <v>8</v>
      </c>
    </row>
    <row r="18" spans="1:4" x14ac:dyDescent="0.35">
      <c r="A18" s="41">
        <v>37679</v>
      </c>
      <c r="B18" s="21" t="s">
        <v>54</v>
      </c>
      <c r="C18" s="21" t="s">
        <v>43</v>
      </c>
      <c r="D18" s="22">
        <f t="shared" si="0"/>
        <v>8</v>
      </c>
    </row>
    <row r="19" spans="1:4" x14ac:dyDescent="0.35">
      <c r="A19" s="42"/>
      <c r="B19" s="21" t="s">
        <v>55</v>
      </c>
      <c r="C19" s="21" t="s">
        <v>44</v>
      </c>
      <c r="D19" s="22">
        <f t="shared" si="0"/>
        <v>9.5</v>
      </c>
    </row>
    <row r="20" spans="1:4" x14ac:dyDescent="0.35">
      <c r="A20" s="42"/>
      <c r="B20" s="21" t="s">
        <v>56</v>
      </c>
      <c r="C20" s="21" t="s">
        <v>45</v>
      </c>
      <c r="D20" s="22">
        <f t="shared" si="0"/>
        <v>7</v>
      </c>
    </row>
    <row r="21" spans="1:4" x14ac:dyDescent="0.35">
      <c r="A21" s="42"/>
      <c r="B21" s="21" t="s">
        <v>57</v>
      </c>
      <c r="C21" s="21" t="s">
        <v>46</v>
      </c>
      <c r="D21" s="22">
        <f t="shared" si="0"/>
        <v>12</v>
      </c>
    </row>
    <row r="22" spans="1:4" x14ac:dyDescent="0.35">
      <c r="A22" s="42"/>
      <c r="B22" s="21" t="s">
        <v>49</v>
      </c>
      <c r="C22" s="21" t="s">
        <v>43</v>
      </c>
      <c r="D22" s="22">
        <f t="shared" si="0"/>
        <v>8</v>
      </c>
    </row>
    <row r="23" spans="1:4" x14ac:dyDescent="0.35">
      <c r="A23" s="41">
        <v>37680</v>
      </c>
      <c r="B23" s="21" t="s">
        <v>50</v>
      </c>
      <c r="C23" s="21" t="s">
        <v>44</v>
      </c>
      <c r="D23" s="22">
        <f t="shared" si="0"/>
        <v>9.5</v>
      </c>
    </row>
    <row r="24" spans="1:4" x14ac:dyDescent="0.35">
      <c r="A24" s="42"/>
      <c r="B24" s="21" t="s">
        <v>51</v>
      </c>
      <c r="C24" s="21" t="s">
        <v>45</v>
      </c>
      <c r="D24" s="22">
        <f t="shared" si="0"/>
        <v>7</v>
      </c>
    </row>
    <row r="25" spans="1:4" x14ac:dyDescent="0.35">
      <c r="A25" s="42"/>
      <c r="B25" s="21" t="s">
        <v>52</v>
      </c>
      <c r="C25" s="21" t="s">
        <v>46</v>
      </c>
      <c r="D25" s="22">
        <f t="shared" si="0"/>
        <v>12</v>
      </c>
    </row>
    <row r="26" spans="1:4" x14ac:dyDescent="0.35">
      <c r="A26" s="42"/>
      <c r="B26" s="21" t="s">
        <v>53</v>
      </c>
      <c r="C26" s="21" t="s">
        <v>43</v>
      </c>
      <c r="D26" s="22">
        <f t="shared" si="0"/>
        <v>8</v>
      </c>
    </row>
    <row r="27" spans="1:4" x14ac:dyDescent="0.35">
      <c r="A27" s="42"/>
      <c r="B27" s="21" t="s">
        <v>54</v>
      </c>
      <c r="C27" s="21" t="s">
        <v>45</v>
      </c>
      <c r="D27" s="22">
        <f t="shared" si="0"/>
        <v>7</v>
      </c>
    </row>
  </sheetData>
  <mergeCells count="4">
    <mergeCell ref="A3:G3"/>
    <mergeCell ref="A13:A17"/>
    <mergeCell ref="A18:A22"/>
    <mergeCell ref="A23:A27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0F15-0B4D-424F-8F73-581E1124FF53}">
  <dimension ref="A1:G30"/>
  <sheetViews>
    <sheetView tabSelected="1" zoomScale="70" zoomScaleNormal="70" workbookViewId="0">
      <selection activeCell="G26" sqref="G26"/>
    </sheetView>
  </sheetViews>
  <sheetFormatPr baseColWidth="10" defaultRowHeight="14.5" x14ac:dyDescent="0.35"/>
  <cols>
    <col min="5" max="5" width="11.26953125" customWidth="1"/>
    <col min="7" max="7" width="11.26953125" customWidth="1"/>
  </cols>
  <sheetData>
    <row r="1" spans="1:7" ht="15.5" x14ac:dyDescent="0.35">
      <c r="A1" s="1" t="s">
        <v>69</v>
      </c>
    </row>
    <row r="2" spans="1:7" ht="15.5" x14ac:dyDescent="0.35">
      <c r="A2" s="1" t="s">
        <v>70</v>
      </c>
    </row>
    <row r="3" spans="1:7" ht="15.5" x14ac:dyDescent="0.35">
      <c r="A3" s="1" t="s">
        <v>71</v>
      </c>
    </row>
    <row r="5" spans="1:7" ht="15" thickBot="1" x14ac:dyDescent="0.4">
      <c r="A5" s="46" t="s">
        <v>40</v>
      </c>
      <c r="B5" s="47"/>
      <c r="C5" s="47"/>
      <c r="D5" s="47"/>
      <c r="E5" s="47"/>
      <c r="F5" s="47"/>
      <c r="G5" s="47"/>
    </row>
    <row r="7" spans="1:7" ht="15" thickBot="1" x14ac:dyDescent="0.4"/>
    <row r="8" spans="1:7" x14ac:dyDescent="0.35">
      <c r="A8" s="27" t="s">
        <v>41</v>
      </c>
      <c r="B8" s="27" t="s">
        <v>67</v>
      </c>
      <c r="C8" s="26" t="s">
        <v>62</v>
      </c>
      <c r="D8" s="34" t="s">
        <v>61</v>
      </c>
    </row>
    <row r="9" spans="1:7" x14ac:dyDescent="0.35">
      <c r="A9" s="33" t="s">
        <v>66</v>
      </c>
      <c r="B9" s="33" t="s">
        <v>43</v>
      </c>
      <c r="C9" s="32">
        <v>0.33333333333333331</v>
      </c>
      <c r="D9" s="31">
        <v>0.66666666666666663</v>
      </c>
    </row>
    <row r="10" spans="1:7" x14ac:dyDescent="0.35">
      <c r="A10" s="33" t="s">
        <v>65</v>
      </c>
      <c r="B10" s="33" t="s">
        <v>44</v>
      </c>
      <c r="C10" s="32">
        <v>0.875</v>
      </c>
      <c r="D10" s="31">
        <v>0.20833333333333334</v>
      </c>
    </row>
    <row r="11" spans="1:7" x14ac:dyDescent="0.35">
      <c r="A11" s="33" t="s">
        <v>64</v>
      </c>
      <c r="B11" s="33" t="s">
        <v>59</v>
      </c>
      <c r="C11" s="32">
        <v>0.20833333333333334</v>
      </c>
      <c r="D11" s="31">
        <v>0.54166666666666663</v>
      </c>
    </row>
    <row r="12" spans="1:7" ht="15" thickBot="1" x14ac:dyDescent="0.4">
      <c r="A12" s="30" t="s">
        <v>63</v>
      </c>
      <c r="B12" s="30" t="s">
        <v>60</v>
      </c>
      <c r="C12" s="29">
        <v>0.54166666666666663</v>
      </c>
      <c r="D12" s="28">
        <v>0.875</v>
      </c>
    </row>
    <row r="14" spans="1:7" ht="15" thickBot="1" x14ac:dyDescent="0.4"/>
    <row r="15" spans="1:7" x14ac:dyDescent="0.35">
      <c r="A15" s="27" t="s">
        <v>47</v>
      </c>
      <c r="B15" s="26" t="s">
        <v>48</v>
      </c>
      <c r="C15" s="26" t="s">
        <v>41</v>
      </c>
      <c r="D15" s="25" t="s">
        <v>62</v>
      </c>
      <c r="E15" s="24" t="s">
        <v>61</v>
      </c>
    </row>
    <row r="16" spans="1:7" x14ac:dyDescent="0.35">
      <c r="A16" s="43">
        <v>37678</v>
      </c>
      <c r="B16" s="20" t="s">
        <v>49</v>
      </c>
      <c r="C16" s="20" t="s">
        <v>43</v>
      </c>
      <c r="D16" s="48">
        <f>VLOOKUP(C16,$B$9:$C$12,2,FALSE)</f>
        <v>0.33333333333333331</v>
      </c>
      <c r="E16" s="49">
        <f>VLOOKUP(C16,$B$9:$D$12,3,)</f>
        <v>0.66666666666666663</v>
      </c>
    </row>
    <row r="17" spans="1:5" x14ac:dyDescent="0.35">
      <c r="A17" s="44"/>
      <c r="B17" s="20" t="s">
        <v>50</v>
      </c>
      <c r="C17" s="20" t="s">
        <v>44</v>
      </c>
      <c r="D17" s="48">
        <f t="shared" ref="D17:D30" si="0">VLOOKUP(C17,$B$9:$C$12,2,FALSE)</f>
        <v>0.875</v>
      </c>
      <c r="E17" s="49">
        <f t="shared" ref="E17:E30" si="1">VLOOKUP(C17,$B$9:$D$12,3,)</f>
        <v>0.20833333333333334</v>
      </c>
    </row>
    <row r="18" spans="1:5" x14ac:dyDescent="0.35">
      <c r="A18" s="44"/>
      <c r="B18" s="20" t="s">
        <v>51</v>
      </c>
      <c r="C18" s="20" t="s">
        <v>59</v>
      </c>
      <c r="D18" s="48">
        <f t="shared" si="0"/>
        <v>0.20833333333333334</v>
      </c>
      <c r="E18" s="49">
        <f t="shared" si="1"/>
        <v>0.54166666666666663</v>
      </c>
    </row>
    <row r="19" spans="1:5" x14ac:dyDescent="0.35">
      <c r="A19" s="44"/>
      <c r="B19" s="20" t="s">
        <v>52</v>
      </c>
      <c r="C19" s="20" t="s">
        <v>60</v>
      </c>
      <c r="D19" s="48">
        <f t="shared" si="0"/>
        <v>0.54166666666666663</v>
      </c>
      <c r="E19" s="49">
        <f t="shared" si="1"/>
        <v>0.875</v>
      </c>
    </row>
    <row r="20" spans="1:5" x14ac:dyDescent="0.35">
      <c r="A20" s="44"/>
      <c r="B20" s="20" t="s">
        <v>53</v>
      </c>
      <c r="C20" s="20" t="s">
        <v>43</v>
      </c>
      <c r="D20" s="48">
        <f t="shared" si="0"/>
        <v>0.33333333333333331</v>
      </c>
      <c r="E20" s="49">
        <f t="shared" si="1"/>
        <v>0.66666666666666663</v>
      </c>
    </row>
    <row r="21" spans="1:5" x14ac:dyDescent="0.35">
      <c r="A21" s="43">
        <v>37679</v>
      </c>
      <c r="B21" s="20" t="s">
        <v>54</v>
      </c>
      <c r="C21" s="20" t="s">
        <v>43</v>
      </c>
      <c r="D21" s="48">
        <f t="shared" si="0"/>
        <v>0.33333333333333331</v>
      </c>
      <c r="E21" s="49">
        <f t="shared" si="1"/>
        <v>0.66666666666666663</v>
      </c>
    </row>
    <row r="22" spans="1:5" x14ac:dyDescent="0.35">
      <c r="A22" s="44"/>
      <c r="B22" s="20" t="s">
        <v>55</v>
      </c>
      <c r="C22" s="20" t="s">
        <v>44</v>
      </c>
      <c r="D22" s="48">
        <f t="shared" si="0"/>
        <v>0.875</v>
      </c>
      <c r="E22" s="49">
        <f t="shared" si="1"/>
        <v>0.20833333333333334</v>
      </c>
    </row>
    <row r="23" spans="1:5" x14ac:dyDescent="0.35">
      <c r="A23" s="44"/>
      <c r="B23" s="20" t="s">
        <v>56</v>
      </c>
      <c r="C23" s="20" t="s">
        <v>59</v>
      </c>
      <c r="D23" s="48">
        <f t="shared" si="0"/>
        <v>0.20833333333333334</v>
      </c>
      <c r="E23" s="49">
        <f t="shared" si="1"/>
        <v>0.54166666666666663</v>
      </c>
    </row>
    <row r="24" spans="1:5" x14ac:dyDescent="0.35">
      <c r="A24" s="44"/>
      <c r="B24" s="20" t="s">
        <v>57</v>
      </c>
      <c r="C24" s="20" t="s">
        <v>60</v>
      </c>
      <c r="D24" s="48">
        <f t="shared" si="0"/>
        <v>0.54166666666666663</v>
      </c>
      <c r="E24" s="49">
        <f t="shared" si="1"/>
        <v>0.875</v>
      </c>
    </row>
    <row r="25" spans="1:5" x14ac:dyDescent="0.35">
      <c r="A25" s="44"/>
      <c r="B25" s="20" t="s">
        <v>49</v>
      </c>
      <c r="C25" s="20" t="s">
        <v>43</v>
      </c>
      <c r="D25" s="48">
        <f t="shared" si="0"/>
        <v>0.33333333333333331</v>
      </c>
      <c r="E25" s="49">
        <f t="shared" si="1"/>
        <v>0.66666666666666663</v>
      </c>
    </row>
    <row r="26" spans="1:5" x14ac:dyDescent="0.35">
      <c r="A26" s="43">
        <v>37680</v>
      </c>
      <c r="B26" s="20" t="s">
        <v>50</v>
      </c>
      <c r="C26" s="20" t="s">
        <v>44</v>
      </c>
      <c r="D26" s="48">
        <f t="shared" si="0"/>
        <v>0.875</v>
      </c>
      <c r="E26" s="49">
        <f t="shared" si="1"/>
        <v>0.20833333333333334</v>
      </c>
    </row>
    <row r="27" spans="1:5" x14ac:dyDescent="0.35">
      <c r="A27" s="44"/>
      <c r="B27" s="20" t="s">
        <v>51</v>
      </c>
      <c r="C27" s="20" t="s">
        <v>43</v>
      </c>
      <c r="D27" s="48">
        <f t="shared" si="0"/>
        <v>0.33333333333333331</v>
      </c>
      <c r="E27" s="49">
        <f t="shared" si="1"/>
        <v>0.66666666666666663</v>
      </c>
    </row>
    <row r="28" spans="1:5" x14ac:dyDescent="0.35">
      <c r="A28" s="44"/>
      <c r="B28" s="20" t="s">
        <v>52</v>
      </c>
      <c r="C28" s="20" t="s">
        <v>60</v>
      </c>
      <c r="D28" s="48">
        <f t="shared" si="0"/>
        <v>0.54166666666666663</v>
      </c>
      <c r="E28" s="49">
        <f t="shared" si="1"/>
        <v>0.875</v>
      </c>
    </row>
    <row r="29" spans="1:5" x14ac:dyDescent="0.35">
      <c r="A29" s="44"/>
      <c r="B29" s="20" t="s">
        <v>53</v>
      </c>
      <c r="C29" s="20" t="s">
        <v>43</v>
      </c>
      <c r="D29" s="48">
        <f t="shared" si="0"/>
        <v>0.33333333333333331</v>
      </c>
      <c r="E29" s="49">
        <f t="shared" si="1"/>
        <v>0.66666666666666663</v>
      </c>
    </row>
    <row r="30" spans="1:5" ht="15" thickBot="1" x14ac:dyDescent="0.4">
      <c r="A30" s="45"/>
      <c r="B30" s="23" t="s">
        <v>54</v>
      </c>
      <c r="C30" s="23" t="s">
        <v>59</v>
      </c>
      <c r="D30" s="48">
        <f t="shared" si="0"/>
        <v>0.20833333333333334</v>
      </c>
      <c r="E30" s="49">
        <f t="shared" si="1"/>
        <v>0.54166666666666663</v>
      </c>
    </row>
  </sheetData>
  <mergeCells count="4">
    <mergeCell ref="A16:A20"/>
    <mergeCell ref="A21:A25"/>
    <mergeCell ref="A26:A30"/>
    <mergeCell ref="A5:G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Akkulaufzeit</vt:lpstr>
      <vt:lpstr>Heizkosten</vt:lpstr>
      <vt:lpstr>Dienstplan1</vt:lpstr>
      <vt:lpstr>Dienstplan2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 Lube</dc:creator>
  <cp:lastModifiedBy>Pichler Matthias</cp:lastModifiedBy>
  <dcterms:created xsi:type="dcterms:W3CDTF">2019-10-22T19:24:28Z</dcterms:created>
  <dcterms:modified xsi:type="dcterms:W3CDTF">2025-10-15T12:37:55Z</dcterms:modified>
</cp:coreProperties>
</file>