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lube\Desktop\"/>
    </mc:Choice>
  </mc:AlternateContent>
  <xr:revisionPtr revIDLastSave="0" documentId="13_ncr:1_{F2DA428E-533C-42A3-8646-0252B7BC449E}" xr6:coauthVersionLast="47" xr6:coauthVersionMax="47" xr10:uidLastSave="{00000000-0000-0000-0000-000000000000}"/>
  <bookViews>
    <workbookView xWindow="-110" yWindow="-110" windowWidth="25820" windowHeight="13900" tabRatio="712" firstSheet="2" activeTab="10" xr2:uid="{D325DF9B-11BC-4C8D-A478-4F6AB426B44B}"/>
  </bookViews>
  <sheets>
    <sheet name="Tabelle1" sheetId="1" r:id="rId1"/>
    <sheet name="Tabelle2" sheetId="2" r:id="rId2"/>
    <sheet name="Tabelle3" sheetId="3" r:id="rId3"/>
    <sheet name="Tabelle4" sheetId="4" r:id="rId4"/>
    <sheet name="Tabelle5" sheetId="5" r:id="rId5"/>
    <sheet name="Tabelle6" sheetId="6" r:id="rId6"/>
    <sheet name="Tabelle7" sheetId="7" r:id="rId7"/>
    <sheet name="Tabelle8" sheetId="8" r:id="rId8"/>
    <sheet name="Tabelle9" sheetId="9" r:id="rId9"/>
    <sheet name="Tabelle10" sheetId="10" r:id="rId10"/>
    <sheet name="Tabelle11" sheetId="11" r:id="rId11"/>
  </sheets>
  <definedNames>
    <definedName name="_xlnm._FilterDatabase" localSheetId="7" hidden="1">Tabelle8!$A$5:$E$29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9" i="7" l="1"/>
  <c r="E48" i="7"/>
  <c r="E45" i="7"/>
  <c r="E42" i="7"/>
  <c r="E40" i="7"/>
  <c r="E38" i="7"/>
  <c r="E36" i="7"/>
  <c r="E34" i="7"/>
  <c r="E32" i="7"/>
  <c r="E30" i="7"/>
  <c r="E28" i="7"/>
  <c r="E25" i="7"/>
  <c r="E22" i="7"/>
  <c r="E20" i="7"/>
  <c r="E18" i="7"/>
  <c r="E16" i="7"/>
  <c r="E14" i="7"/>
  <c r="E12" i="7"/>
  <c r="E9" i="7"/>
  <c r="E7" i="7"/>
  <c r="D11" i="4" l="1"/>
  <c r="C11" i="4"/>
  <c r="B11" i="4"/>
</calcChain>
</file>

<file path=xl/sharedStrings.xml><?xml version="1.0" encoding="utf-8"?>
<sst xmlns="http://schemas.openxmlformats.org/spreadsheetml/2006/main" count="393" uniqueCount="155">
  <si>
    <t>Runden Eis - 1 Stelle</t>
  </si>
  <si>
    <t>Aufrunden Eis - 2 Stellen</t>
  </si>
  <si>
    <t>Abrunden Eis - 0 Stellen</t>
  </si>
  <si>
    <t>Produkte</t>
  </si>
  <si>
    <t>Preis</t>
  </si>
  <si>
    <t>Eis</t>
  </si>
  <si>
    <t>Berechnen Sie Anzahl der Kisten (6 Flaschen passen maximal in eine Kiste). Auf das Runden nicht vergessen, da auch eine Kiste mit 4 Flaschen vergeben werden kann. 
Berechnen Sie den Preis. Arbeiten Sie mit Zellbezügen.</t>
  </si>
  <si>
    <t>Anzahl Flaschen</t>
  </si>
  <si>
    <t>Berechnen Sie die jeweiligen fehlenden Felder. Arbeiten Sie mit Zellbezügen.</t>
  </si>
  <si>
    <t>Produkt - 20 %</t>
  </si>
  <si>
    <t>Netto</t>
  </si>
  <si>
    <t>MWSt</t>
  </si>
  <si>
    <t>Brutto</t>
  </si>
  <si>
    <t>Produkt A</t>
  </si>
  <si>
    <t>Steuer</t>
  </si>
  <si>
    <t>Produkt B</t>
  </si>
  <si>
    <t>Produkt C</t>
  </si>
  <si>
    <t>Produkt D</t>
  </si>
  <si>
    <t>Produkt - 10 %</t>
  </si>
  <si>
    <t>Produkt - 13 %</t>
  </si>
  <si>
    <t>1.) Erstellen Sie ein Diagramm, das alle drei Hotels sowie alle Nationen zeigt. 
2.) Erstellen Sie ein Diagramm, das nur das Hotel Adler sowie die Nationen zeigt.
3.) Erstellen Sie ein Diagramm, das nur Hotel Alpenblick sowie die Nationen zeigt.
Formatieren Sie die Diagramme nach Belieben und geben jedem einen TITEL.</t>
  </si>
  <si>
    <t>Gästeübernachtungen</t>
  </si>
  <si>
    <t>Nationen</t>
  </si>
  <si>
    <t>Hotel Post</t>
  </si>
  <si>
    <t>Hotel Adler</t>
  </si>
  <si>
    <t>Alpenblick</t>
  </si>
  <si>
    <t>Österreich</t>
  </si>
  <si>
    <t>Deutschland</t>
  </si>
  <si>
    <t>Amerika</t>
  </si>
  <si>
    <t>Italien</t>
  </si>
  <si>
    <t>Frankreich</t>
  </si>
  <si>
    <t>Holland</t>
  </si>
  <si>
    <t>Gesamt</t>
  </si>
  <si>
    <t>Mitarbeiter</t>
  </si>
  <si>
    <t>Umsatz</t>
  </si>
  <si>
    <t>Bonus?</t>
  </si>
  <si>
    <t>Matthew</t>
  </si>
  <si>
    <t>Jonathen</t>
  </si>
  <si>
    <t>Colt</t>
  </si>
  <si>
    <t>Syngyn</t>
  </si>
  <si>
    <t>Tania</t>
  </si>
  <si>
    <t>Larissa</t>
  </si>
  <si>
    <t>Kalani</t>
  </si>
  <si>
    <t>Kennzeichen</t>
  </si>
  <si>
    <t>Stadt</t>
  </si>
  <si>
    <t>I</t>
  </si>
  <si>
    <t>Innsbruck</t>
  </si>
  <si>
    <t>G</t>
  </si>
  <si>
    <t>Graz</t>
  </si>
  <si>
    <t>W</t>
  </si>
  <si>
    <t>Wien</t>
  </si>
  <si>
    <t>3. Teilergebnisse I</t>
  </si>
  <si>
    <t xml:space="preserve">1. Lassen Sie sich von Excel die jeweilige Anzahl der Mitarbeiter pro Stadt ausgeben. </t>
  </si>
  <si>
    <t>Namen</t>
  </si>
  <si>
    <t>PLZ</t>
  </si>
  <si>
    <t>Eintrtittstag</t>
  </si>
  <si>
    <t>Firma</t>
  </si>
  <si>
    <t>Tipp: Was muss vor der Erstellung des Teilergebnisses immer gemacht werden???</t>
  </si>
  <si>
    <t>Hudson</t>
  </si>
  <si>
    <t>Las Vegas</t>
  </si>
  <si>
    <t>Felis PC</t>
  </si>
  <si>
    <t>Las Vegas Anzahl</t>
  </si>
  <si>
    <t>Foster</t>
  </si>
  <si>
    <t>Goulburn</t>
  </si>
  <si>
    <t>Ligula Ltd</t>
  </si>
  <si>
    <t>Goulburn Anzahl</t>
  </si>
  <si>
    <t>Wheeler</t>
  </si>
  <si>
    <t>Dallas</t>
  </si>
  <si>
    <t>RZ8 5CS</t>
  </si>
  <si>
    <t>Sed Inc.</t>
  </si>
  <si>
    <t>Jensen</t>
  </si>
  <si>
    <t>Dallas Anzahl</t>
  </si>
  <si>
    <t>Lee</t>
  </si>
  <si>
    <t>LaSalle</t>
  </si>
  <si>
    <t>0436 QL</t>
  </si>
  <si>
    <t>LaSalle Anzahl</t>
  </si>
  <si>
    <t>Brennan</t>
  </si>
  <si>
    <t>Sharpe</t>
  </si>
  <si>
    <t>Mccarthy</t>
  </si>
  <si>
    <t>Mathis</t>
  </si>
  <si>
    <t>Thompson</t>
  </si>
  <si>
    <t>Reilly</t>
  </si>
  <si>
    <t>Mccullough</t>
  </si>
  <si>
    <t>Marsh</t>
  </si>
  <si>
    <t>Berg</t>
  </si>
  <si>
    <t>Hunt</t>
  </si>
  <si>
    <t>Lynn</t>
  </si>
  <si>
    <t>Bush</t>
  </si>
  <si>
    <t>Duran</t>
  </si>
  <si>
    <t>Urna Et PC</t>
  </si>
  <si>
    <t>Winters</t>
  </si>
  <si>
    <t>Graham</t>
  </si>
  <si>
    <t>Monroe</t>
  </si>
  <si>
    <t>Craig</t>
  </si>
  <si>
    <t>Martin</t>
  </si>
  <si>
    <t>Burgess</t>
  </si>
  <si>
    <t>Gesamtanzahl</t>
  </si>
  <si>
    <t>4. Gruppierung/Gliederung</t>
  </si>
  <si>
    <t>Verwendung der Funktion Runden, Aufrunden und Abrunden.</t>
  </si>
  <si>
    <t>Es gibt eigene Funktionen dafür!!</t>
  </si>
  <si>
    <t>Normale Division</t>
  </si>
  <si>
    <r>
      <t xml:space="preserve">Division mit </t>
    </r>
    <r>
      <rPr>
        <b/>
        <sz val="12"/>
        <color rgb="FFFF0000"/>
        <rFont val="Times New Roman"/>
        <family val="1"/>
      </rPr>
      <t>Aufrunden</t>
    </r>
  </si>
  <si>
    <t>Wieso unbedingt aufrunden?</t>
  </si>
  <si>
    <t>Eine Handyhülle kostet € 9,99 brutto. Berechnen Sie den Nettobetrag. Steuersatz 20%.</t>
  </si>
  <si>
    <t>Brutto immer 120, 110 oder 113%!!!</t>
  </si>
  <si>
    <t>Die MWSt ist in diesem Fall 13% und wir möchten entweder 100% oder 113% finden.</t>
  </si>
  <si>
    <t>KEINE SUMMEN INS DIAGRAMM!!!!!</t>
  </si>
  <si>
    <t>Und wo ist der Titel???</t>
  </si>
  <si>
    <t>Wieso ist hier die Summe aber okay??</t>
  </si>
  <si>
    <t>Lösung mit drei Wenns und Fehlerhandling!</t>
  </si>
  <si>
    <t>Lösung mit zwei Wenn - Annahme es kann wirklich nur I, G oder W drinnen stehen.</t>
  </si>
  <si>
    <t>Wenns sollten immer drei Teile haben!!! Überprüfung, Dann, Sonst</t>
  </si>
  <si>
    <t>Was soll das????</t>
  </si>
  <si>
    <t>Seh ich da irgendwas sinnvolles?</t>
  </si>
  <si>
    <t>Ist es wirklich gegliedert bei Punkt 2??</t>
  </si>
  <si>
    <t xml:space="preserve">1. Gruppieren Sie so, das man nur den Namen, den Eintrittstag sowie die Firma sieht. </t>
  </si>
  <si>
    <t>2. Gruppieren Sie so, dass Mitarbeiter der Stadt Las Vegas und La Salle nicht zu sehen sind.</t>
  </si>
  <si>
    <t>Vergeben Sie entweder "Wien", "Graz" oder "Innsbruck" je nach Autokennzeichen. Arbeiten Sie mit Zellbezügen.</t>
  </si>
  <si>
    <r>
      <t xml:space="preserve">Berechnen Sie </t>
    </r>
    <r>
      <rPr>
        <b/>
        <sz val="12"/>
        <color rgb="FFFF0000"/>
        <rFont val="Times New Roman"/>
        <family val="1"/>
      </rPr>
      <t>nur die Provision</t>
    </r>
    <r>
      <rPr>
        <sz val="12"/>
        <rFont val="Times New Roman"/>
        <family val="1"/>
      </rPr>
      <t xml:space="preserve">. Wenn ein Umsatz von € 300.000 überschritten wurde, erhält der Mitarbeit eine Provision von 6% </t>
    </r>
    <r>
      <rPr>
        <b/>
        <sz val="12"/>
        <color rgb="FFFF0000"/>
        <rFont val="Times New Roman"/>
        <family val="1"/>
      </rPr>
      <t>(Berechnung der Provision)</t>
    </r>
    <r>
      <rPr>
        <sz val="12"/>
        <rFont val="Times New Roman"/>
        <family val="1"/>
      </rPr>
      <t xml:space="preserve">, ansonsten soll nichts ausgegeben werden. </t>
    </r>
  </si>
  <si>
    <t>Geburtsdatum:</t>
  </si>
  <si>
    <r>
      <rPr>
        <b/>
        <sz val="12"/>
        <color rgb="FFFF0000"/>
        <rFont val="Times New Roman"/>
        <family val="1"/>
      </rPr>
      <t>Bennenen</t>
    </r>
    <r>
      <rPr>
        <sz val="12"/>
        <rFont val="Times New Roman"/>
        <family val="1"/>
      </rPr>
      <t xml:space="preserve"> Sie Tabelle8 um auf </t>
    </r>
    <r>
      <rPr>
        <i/>
        <sz val="12"/>
        <rFont val="Times New Roman"/>
        <family val="1"/>
      </rPr>
      <t>Gliederung_Gruppierung</t>
    </r>
    <r>
      <rPr>
        <sz val="12"/>
        <rFont val="Times New Roman"/>
        <family val="1"/>
      </rPr>
      <t xml:space="preserve">. Und Tabelle7 auf </t>
    </r>
    <r>
      <rPr>
        <i/>
        <sz val="12"/>
        <rFont val="Times New Roman"/>
        <family val="1"/>
      </rPr>
      <t>Teilergebnisse</t>
    </r>
    <r>
      <rPr>
        <sz val="12"/>
        <rFont val="Times New Roman"/>
        <family val="1"/>
      </rPr>
      <t>.</t>
    </r>
  </si>
  <si>
    <r>
      <t xml:space="preserve">Es sollen nur Geburtsdaten akzeptiert werden die &gt;= 01.01.2008 sind. Definieren Sie folgende Fehlermeldung -&gt;  "Zu alt". Definieren Sie auch eine </t>
    </r>
    <r>
      <rPr>
        <b/>
        <sz val="12"/>
        <color rgb="FFFF0000"/>
        <rFont val="Times New Roman"/>
        <family val="1"/>
      </rPr>
      <t xml:space="preserve">Eingabemeldung/-hilfe </t>
    </r>
    <r>
      <rPr>
        <sz val="12"/>
        <rFont val="Times New Roman"/>
        <family val="1"/>
      </rPr>
      <t>-&gt; "Nur &gt;=2008 erlaubt."</t>
    </r>
  </si>
  <si>
    <r>
      <t xml:space="preserve">Es soll nur C3 bearbeitbar bleiben. Der Rest des Tabellenblattes soll geschützt werden. </t>
    </r>
    <r>
      <rPr>
        <b/>
        <sz val="12"/>
        <color rgb="FFFF0000"/>
        <rFont val="Times New Roman"/>
        <family val="1"/>
      </rPr>
      <t>Mit Passwort 123.</t>
    </r>
  </si>
  <si>
    <t>No.</t>
  </si>
  <si>
    <t>Bestelldatum</t>
  </si>
  <si>
    <t>Produkt</t>
  </si>
  <si>
    <t>Verkäufer</t>
  </si>
  <si>
    <t>Region</t>
  </si>
  <si>
    <t>Microsoft</t>
  </si>
  <si>
    <t>Excel</t>
  </si>
  <si>
    <t>Meier</t>
  </si>
  <si>
    <t>West</t>
  </si>
  <si>
    <t>Word</t>
  </si>
  <si>
    <t>Süd</t>
  </si>
  <si>
    <t>Nord</t>
  </si>
  <si>
    <t>Dräger</t>
  </si>
  <si>
    <t>Ost</t>
  </si>
  <si>
    <r>
      <t xml:space="preserve">Erstellen Sie eine Pivotabelle die die Verkäufer in den Spalten zeigt sowie das Produkt in den Zeilen. Es soll aber nicht die Summe ausgegeben werden, sondern die Anzahl.
</t>
    </r>
    <r>
      <rPr>
        <b/>
        <sz val="12"/>
        <color rgb="FFFF0000"/>
        <rFont val="Times New Roman"/>
        <family val="1"/>
      </rPr>
      <t>Stellen Sie das Berichtslayout - Im Gliederungsformat ein!!!</t>
    </r>
  </si>
  <si>
    <r>
      <t xml:space="preserve">Geben Sie alle </t>
    </r>
    <r>
      <rPr>
        <b/>
        <sz val="12"/>
        <color rgb="FFFF0000"/>
        <rFont val="Times New Roman"/>
        <family val="1"/>
      </rPr>
      <t>Quelldaten</t>
    </r>
    <r>
      <rPr>
        <sz val="12"/>
        <rFont val="Times New Roman"/>
        <family val="1"/>
      </rPr>
      <t xml:space="preserve"> des Produktes Excel aus.</t>
    </r>
  </si>
  <si>
    <r>
      <t xml:space="preserve">Geben Sie alle </t>
    </r>
    <r>
      <rPr>
        <b/>
        <sz val="12"/>
        <color rgb="FFFF0000"/>
        <rFont val="Times New Roman"/>
        <family val="1"/>
      </rPr>
      <t>Quelldaten</t>
    </r>
    <r>
      <rPr>
        <sz val="12"/>
        <rFont val="Times New Roman"/>
        <family val="1"/>
      </rPr>
      <t xml:space="preserve"> des Verkäufers/der Verkäuferin Dräger aus.</t>
    </r>
  </si>
  <si>
    <t>Obstsorte</t>
  </si>
  <si>
    <t>Lager</t>
  </si>
  <si>
    <t>Menge / t</t>
  </si>
  <si>
    <t>Bananen</t>
  </si>
  <si>
    <t>Hamburg</t>
  </si>
  <si>
    <t>Birnen</t>
  </si>
  <si>
    <t>Berlin</t>
  </si>
  <si>
    <t>Äpfel</t>
  </si>
  <si>
    <t>Köln</t>
  </si>
  <si>
    <t>München</t>
  </si>
  <si>
    <t>Berechnung</t>
  </si>
  <si>
    <t>Zwischen bedeutet - inkl. 3 und 6!!</t>
  </si>
  <si>
    <r>
      <t xml:space="preserve">DBF - An wie vielen Orten lagern </t>
    </r>
    <r>
      <rPr>
        <b/>
        <sz val="12"/>
        <color rgb="FFFF0000"/>
        <rFont val="Times New Roman"/>
        <family val="1"/>
      </rPr>
      <t>zwischen</t>
    </r>
    <r>
      <rPr>
        <sz val="12"/>
        <rFont val="Times New Roman"/>
        <family val="1"/>
      </rPr>
      <t xml:space="preserve"> 3 und 6 t Obst?</t>
    </r>
  </si>
  <si>
    <t>DBF - Wie viele Tonnen Bananen und Birnen liegen in Köln?</t>
  </si>
  <si>
    <t>Aufpassen - was passiert mit Köln?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</si>
</sst>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_-* #,##0.00\ &quot;€&quot;_-;\-* #,##0.00\ &quot;€&quot;_-;_-* &quot;-&quot;??\ &quot;€&quot;_-;_-@_-"/>
  </numFmts>
  <fonts count="17" x14ac:knownFonts="1">
    <font>
      <sz val="11"/>
      <color theme="1"/>
      <name val="Aptos Narrow"/>
      <family val="2"/>
      <scheme val="minor"/>
    </font>
    <font>
      <sz val="11"/>
      <color theme="1"/>
      <name val="Aptos Narrow"/>
      <family val="2"/>
      <scheme val="minor"/>
    </font>
    <font>
      <sz val="12"/>
      <color theme="1"/>
      <name val="Times New Roman"/>
      <family val="1"/>
    </font>
    <font>
      <b/>
      <sz val="12"/>
      <color theme="1"/>
      <name val="Times New Roman"/>
      <family val="1"/>
    </font>
    <font>
      <sz val="12"/>
      <name val="Times New Roman"/>
      <family val="1"/>
    </font>
    <font>
      <b/>
      <sz val="12"/>
      <color theme="0"/>
      <name val="Times New Roman"/>
      <family val="1"/>
    </font>
    <font>
      <b/>
      <sz val="14"/>
      <color theme="0"/>
      <name val="Times New Roman"/>
      <family val="1"/>
    </font>
    <font>
      <sz val="11"/>
      <color theme="1"/>
      <name val="Times New Roman"/>
      <family val="1"/>
    </font>
    <font>
      <b/>
      <sz val="22"/>
      <color theme="1"/>
      <name val="Times New Roman"/>
      <family val="1"/>
    </font>
    <font>
      <sz val="11"/>
      <color rgb="FF000000"/>
      <name val="Calibri"/>
      <family val="2"/>
    </font>
    <font>
      <sz val="12"/>
      <color rgb="FF000000"/>
      <name val="Times New Roman"/>
      <family val="1"/>
    </font>
    <font>
      <b/>
      <sz val="12"/>
      <color rgb="FF000000"/>
      <name val="Times New Roman"/>
      <family val="1"/>
    </font>
    <font>
      <b/>
      <sz val="12"/>
      <color rgb="FFFF0000"/>
      <name val="Times New Roman"/>
      <family val="1"/>
    </font>
    <font>
      <b/>
      <sz val="16"/>
      <color rgb="FFFF0000"/>
      <name val="Times New Roman"/>
      <family val="1"/>
    </font>
    <font>
      <i/>
      <sz val="12"/>
      <name val="Times New Roman"/>
      <family val="1"/>
    </font>
    <font>
      <b/>
      <sz val="14"/>
      <color theme="1"/>
      <name val="Aptos Narrow"/>
      <family val="2"/>
      <scheme val="minor"/>
    </font>
    <font>
      <b/>
      <sz val="14"/>
      <color theme="1"/>
      <name val="Times New Roman"/>
      <family val="1"/>
    </font>
  </fonts>
  <fills count="14">
    <fill>
      <patternFill patternType="none"/>
    </fill>
    <fill>
      <patternFill patternType="gray125"/>
    </fill>
    <fill>
      <patternFill patternType="solid">
        <fgColor theme="9" tint="0.59999389629810485"/>
        <bgColor indexed="64"/>
      </patternFill>
    </fill>
    <fill>
      <patternFill patternType="solid">
        <fgColor theme="9" tint="0.39997558519241921"/>
        <bgColor indexed="64"/>
      </patternFill>
    </fill>
    <fill>
      <patternFill patternType="lightUp">
        <fgColor theme="9" tint="0.39994506668294322"/>
        <bgColor indexed="65"/>
      </patternFill>
    </fill>
    <fill>
      <patternFill patternType="solid">
        <fgColor theme="9" tint="-0.499984740745262"/>
        <bgColor indexed="64"/>
      </patternFill>
    </fill>
    <fill>
      <patternFill patternType="solid">
        <fgColor rgb="FFCC0099"/>
        <bgColor indexed="64"/>
      </patternFill>
    </fill>
    <fill>
      <patternFill patternType="solid">
        <fgColor theme="8" tint="0.59999389629810485"/>
        <bgColor indexed="64"/>
      </patternFill>
    </fill>
    <fill>
      <patternFill patternType="mediumGray">
        <fgColor rgb="FFCCECFF"/>
      </patternFill>
    </fill>
    <fill>
      <patternFill patternType="solid">
        <fgColor rgb="FF006699"/>
        <bgColor indexed="64"/>
      </patternFill>
    </fill>
    <fill>
      <patternFill patternType="solid">
        <fgColor theme="0" tint="-0.14999847407452621"/>
        <bgColor indexed="64"/>
      </patternFill>
    </fill>
    <fill>
      <patternFill patternType="solid">
        <fgColor theme="0" tint="-0.34998626667073579"/>
        <bgColor indexed="64"/>
      </patternFill>
    </fill>
    <fill>
      <patternFill patternType="lightVertical">
        <fgColor theme="9" tint="0.59996337778862885"/>
        <bgColor indexed="65"/>
      </patternFill>
    </fill>
    <fill>
      <patternFill patternType="solid">
        <fgColor theme="9"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theme="9" tint="0.59996337778862885"/>
      </right>
      <top style="medium">
        <color theme="9" tint="0.59996337778862885"/>
      </top>
      <bottom style="medium">
        <color theme="9" tint="0.59996337778862885"/>
      </bottom>
      <diagonal/>
    </border>
  </borders>
  <cellStyleXfs count="3">
    <xf numFmtId="0" fontId="0" fillId="0" borderId="0"/>
    <xf numFmtId="44" fontId="1" fillId="0" borderId="0" applyFont="0" applyFill="0" applyBorder="0" applyAlignment="0" applyProtection="0"/>
    <xf numFmtId="0" fontId="9" fillId="0" borderId="0"/>
  </cellStyleXfs>
  <cellXfs count="48">
    <xf numFmtId="0" fontId="0" fillId="0" borderId="0" xfId="0"/>
    <xf numFmtId="0" fontId="2" fillId="0" borderId="1" xfId="0" applyFont="1" applyBorder="1"/>
    <xf numFmtId="164" fontId="2" fillId="2" borderId="1" xfId="0" applyNumberFormat="1" applyFont="1" applyFill="1" applyBorder="1"/>
    <xf numFmtId="0" fontId="2" fillId="0" borderId="0" xfId="0" applyFont="1"/>
    <xf numFmtId="0" fontId="3" fillId="3" borderId="2" xfId="0" applyFont="1" applyFill="1" applyBorder="1" applyAlignment="1">
      <alignment horizontal="center"/>
    </xf>
    <xf numFmtId="0" fontId="3" fillId="3" borderId="3" xfId="0" applyFont="1" applyFill="1" applyBorder="1" applyAlignment="1">
      <alignment horizontal="center"/>
    </xf>
    <xf numFmtId="0" fontId="2" fillId="0" borderId="0" xfId="0" applyFont="1" applyAlignment="1">
      <alignment horizontal="left"/>
    </xf>
    <xf numFmtId="44" fontId="2" fillId="0" borderId="0" xfId="1" applyFont="1"/>
    <xf numFmtId="44" fontId="2" fillId="0" borderId="1" xfId="0" applyNumberFormat="1" applyFont="1" applyBorder="1"/>
    <xf numFmtId="44" fontId="2" fillId="0" borderId="1" xfId="1" applyFont="1" applyBorder="1"/>
    <xf numFmtId="0" fontId="5" fillId="5" borderId="1" xfId="0" applyFont="1" applyFill="1" applyBorder="1"/>
    <xf numFmtId="0" fontId="3" fillId="3" borderId="1" xfId="0" applyFont="1" applyFill="1" applyBorder="1" applyAlignment="1">
      <alignment horizontal="center"/>
    </xf>
    <xf numFmtId="164" fontId="2" fillId="0" borderId="1" xfId="0" applyNumberFormat="1" applyFont="1" applyBorder="1"/>
    <xf numFmtId="0" fontId="2" fillId="0" borderId="1" xfId="1" applyNumberFormat="1" applyFont="1" applyBorder="1"/>
    <xf numFmtId="0" fontId="2" fillId="6" borderId="4" xfId="0" applyFont="1" applyFill="1" applyBorder="1"/>
    <xf numFmtId="0" fontId="5" fillId="6" borderId="0" xfId="0" applyFont="1" applyFill="1"/>
    <xf numFmtId="0" fontId="2" fillId="0" borderId="2" xfId="0" applyFont="1" applyBorder="1"/>
    <xf numFmtId="0" fontId="2" fillId="0" borderId="5" xfId="0" applyFont="1" applyBorder="1"/>
    <xf numFmtId="0" fontId="2" fillId="0" borderId="3" xfId="0" applyFont="1" applyBorder="1"/>
    <xf numFmtId="0" fontId="7" fillId="0" borderId="0" xfId="0" applyFont="1"/>
    <xf numFmtId="0" fontId="5" fillId="7" borderId="0" xfId="0" applyFont="1" applyFill="1" applyAlignment="1">
      <alignment horizontal="center"/>
    </xf>
    <xf numFmtId="44" fontId="7" fillId="0" borderId="0" xfId="1" applyFont="1"/>
    <xf numFmtId="0" fontId="7" fillId="0" borderId="0" xfId="0" applyFont="1" applyAlignment="1">
      <alignment horizontal="center"/>
    </xf>
    <xf numFmtId="0" fontId="7" fillId="0" borderId="1" xfId="0" applyFont="1" applyBorder="1" applyAlignment="1">
      <alignment horizontal="center"/>
    </xf>
    <xf numFmtId="0" fontId="7" fillId="0" borderId="1" xfId="0" applyFont="1" applyBorder="1"/>
    <xf numFmtId="0" fontId="5" fillId="9" borderId="1" xfId="2" applyFont="1" applyFill="1" applyBorder="1"/>
    <xf numFmtId="0" fontId="10" fillId="0" borderId="1" xfId="2" applyFont="1" applyBorder="1"/>
    <xf numFmtId="0" fontId="10" fillId="0" borderId="1" xfId="2" applyFont="1" applyBorder="1" applyAlignment="1">
      <alignment horizontal="center"/>
    </xf>
    <xf numFmtId="14" fontId="10" fillId="0" borderId="1" xfId="2" applyNumberFormat="1" applyFont="1" applyBorder="1"/>
    <xf numFmtId="0" fontId="11" fillId="0" borderId="1" xfId="2" applyFont="1" applyBorder="1"/>
    <xf numFmtId="0" fontId="10" fillId="0" borderId="0" xfId="2" applyFont="1"/>
    <xf numFmtId="0" fontId="11" fillId="0" borderId="0" xfId="2" applyFont="1"/>
    <xf numFmtId="0" fontId="10" fillId="0" borderId="0" xfId="2" applyFont="1" applyAlignment="1">
      <alignment horizontal="center"/>
    </xf>
    <xf numFmtId="14" fontId="10" fillId="0" borderId="0" xfId="2" applyNumberFormat="1" applyFont="1"/>
    <xf numFmtId="0" fontId="0" fillId="0" borderId="1" xfId="0" applyBorder="1"/>
    <xf numFmtId="0" fontId="2" fillId="0" borderId="1" xfId="0" applyFont="1" applyBorder="1" applyAlignment="1">
      <alignment horizontal="center"/>
    </xf>
    <xf numFmtId="0" fontId="13" fillId="0" borderId="0" xfId="0" applyFont="1"/>
    <xf numFmtId="0" fontId="5" fillId="11" borderId="0" xfId="0" applyFont="1" applyFill="1" applyAlignment="1">
      <alignment horizontal="center"/>
    </xf>
    <xf numFmtId="0" fontId="0" fillId="10" borderId="0" xfId="0" applyFill="1"/>
    <xf numFmtId="0" fontId="15" fillId="0" borderId="0" xfId="0" applyFont="1"/>
    <xf numFmtId="14" fontId="0" fillId="0" borderId="0" xfId="0" applyNumberFormat="1"/>
    <xf numFmtId="0" fontId="4" fillId="4" borderId="0" xfId="0" applyFont="1" applyFill="1" applyAlignment="1">
      <alignment horizontal="left" vertical="top" wrapText="1"/>
    </xf>
    <xf numFmtId="0" fontId="2" fillId="0" borderId="0" xfId="0" applyFont="1" applyAlignment="1">
      <alignment horizontal="left" wrapText="1"/>
    </xf>
    <xf numFmtId="0" fontId="6" fillId="5" borderId="0" xfId="0" applyFont="1" applyFill="1" applyAlignment="1">
      <alignment horizontal="center"/>
    </xf>
    <xf numFmtId="0" fontId="8" fillId="8" borderId="0" xfId="0" applyFont="1" applyFill="1" applyAlignment="1">
      <alignment horizontal="center"/>
    </xf>
    <xf numFmtId="0" fontId="3" fillId="12" borderId="1" xfId="0" applyFont="1" applyFill="1" applyBorder="1" applyAlignment="1">
      <alignment horizontal="center"/>
    </xf>
    <xf numFmtId="0" fontId="16" fillId="12" borderId="1" xfId="0" applyFont="1" applyFill="1" applyBorder="1" applyAlignment="1">
      <alignment horizontal="center"/>
    </xf>
    <xf numFmtId="0" fontId="2" fillId="13" borderId="6" xfId="0" applyFont="1" applyFill="1" applyBorder="1"/>
  </cellXfs>
  <cellStyles count="3">
    <cellStyle name="Standard" xfId="0" builtinId="0"/>
    <cellStyle name="Standard 2" xfId="2" xr:uid="{CA85FF01-BBE5-442F-A67A-5A73C7A6420E}"/>
    <cellStyle name="Währung"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Tabelle4!$B$4</c:f>
              <c:strCache>
                <c:ptCount val="1"/>
                <c:pt idx="0">
                  <c:v>Hotel Post</c:v>
                </c:pt>
              </c:strCache>
            </c:strRef>
          </c:tx>
          <c:spPr>
            <a:solidFill>
              <a:schemeClr val="accent1"/>
            </a:solidFill>
            <a:ln>
              <a:noFill/>
            </a:ln>
            <a:effectLst/>
          </c:spPr>
          <c:invertIfNegative val="0"/>
          <c:cat>
            <c:strRef>
              <c:f>Tabelle4!$A$5:$A$10</c:f>
              <c:strCache>
                <c:ptCount val="6"/>
                <c:pt idx="0">
                  <c:v>Österreich</c:v>
                </c:pt>
                <c:pt idx="1">
                  <c:v>Deutschland</c:v>
                </c:pt>
                <c:pt idx="2">
                  <c:v>Amerika</c:v>
                </c:pt>
                <c:pt idx="3">
                  <c:v>Italien</c:v>
                </c:pt>
                <c:pt idx="4">
                  <c:v>Frankreich</c:v>
                </c:pt>
                <c:pt idx="5">
                  <c:v>Holland</c:v>
                </c:pt>
              </c:strCache>
            </c:strRef>
          </c:cat>
          <c:val>
            <c:numRef>
              <c:f>Tabelle4!$B$5:$B$10</c:f>
              <c:numCache>
                <c:formatCode>General</c:formatCode>
                <c:ptCount val="6"/>
                <c:pt idx="0">
                  <c:v>6500</c:v>
                </c:pt>
                <c:pt idx="1">
                  <c:v>12355</c:v>
                </c:pt>
                <c:pt idx="2">
                  <c:v>1323</c:v>
                </c:pt>
                <c:pt idx="3">
                  <c:v>2149</c:v>
                </c:pt>
                <c:pt idx="4">
                  <c:v>2068</c:v>
                </c:pt>
                <c:pt idx="5">
                  <c:v>521</c:v>
                </c:pt>
              </c:numCache>
            </c:numRef>
          </c:val>
          <c:extLst>
            <c:ext xmlns:c16="http://schemas.microsoft.com/office/drawing/2014/chart" uri="{C3380CC4-5D6E-409C-BE32-E72D297353CC}">
              <c16:uniqueId val="{00000000-B8FE-4AD2-A6ED-51D1836D2852}"/>
            </c:ext>
          </c:extLst>
        </c:ser>
        <c:ser>
          <c:idx val="1"/>
          <c:order val="1"/>
          <c:tx>
            <c:strRef>
              <c:f>Tabelle4!$C$4</c:f>
              <c:strCache>
                <c:ptCount val="1"/>
                <c:pt idx="0">
                  <c:v>Hotel Adler</c:v>
                </c:pt>
              </c:strCache>
            </c:strRef>
          </c:tx>
          <c:spPr>
            <a:solidFill>
              <a:schemeClr val="accent2"/>
            </a:solidFill>
            <a:ln>
              <a:noFill/>
            </a:ln>
            <a:effectLst/>
          </c:spPr>
          <c:invertIfNegative val="0"/>
          <c:cat>
            <c:strRef>
              <c:f>Tabelle4!$A$5:$A$10</c:f>
              <c:strCache>
                <c:ptCount val="6"/>
                <c:pt idx="0">
                  <c:v>Österreich</c:v>
                </c:pt>
                <c:pt idx="1">
                  <c:v>Deutschland</c:v>
                </c:pt>
                <c:pt idx="2">
                  <c:v>Amerika</c:v>
                </c:pt>
                <c:pt idx="3">
                  <c:v>Italien</c:v>
                </c:pt>
                <c:pt idx="4">
                  <c:v>Frankreich</c:v>
                </c:pt>
                <c:pt idx="5">
                  <c:v>Holland</c:v>
                </c:pt>
              </c:strCache>
            </c:strRef>
          </c:cat>
          <c:val>
            <c:numRef>
              <c:f>Tabelle4!$C$5:$C$10</c:f>
              <c:numCache>
                <c:formatCode>General</c:formatCode>
                <c:ptCount val="6"/>
                <c:pt idx="0">
                  <c:v>7290</c:v>
                </c:pt>
                <c:pt idx="1">
                  <c:v>4867</c:v>
                </c:pt>
                <c:pt idx="2">
                  <c:v>542</c:v>
                </c:pt>
                <c:pt idx="3">
                  <c:v>634</c:v>
                </c:pt>
                <c:pt idx="4">
                  <c:v>469</c:v>
                </c:pt>
                <c:pt idx="5">
                  <c:v>712</c:v>
                </c:pt>
              </c:numCache>
            </c:numRef>
          </c:val>
          <c:extLst>
            <c:ext xmlns:c16="http://schemas.microsoft.com/office/drawing/2014/chart" uri="{C3380CC4-5D6E-409C-BE32-E72D297353CC}">
              <c16:uniqueId val="{00000001-B8FE-4AD2-A6ED-51D1836D2852}"/>
            </c:ext>
          </c:extLst>
        </c:ser>
        <c:ser>
          <c:idx val="2"/>
          <c:order val="2"/>
          <c:tx>
            <c:strRef>
              <c:f>Tabelle4!$D$4</c:f>
              <c:strCache>
                <c:ptCount val="1"/>
                <c:pt idx="0">
                  <c:v>Alpenblick</c:v>
                </c:pt>
              </c:strCache>
            </c:strRef>
          </c:tx>
          <c:spPr>
            <a:solidFill>
              <a:schemeClr val="accent3"/>
            </a:solidFill>
            <a:ln>
              <a:noFill/>
            </a:ln>
            <a:effectLst/>
          </c:spPr>
          <c:invertIfNegative val="0"/>
          <c:cat>
            <c:strRef>
              <c:f>Tabelle4!$A$5:$A$10</c:f>
              <c:strCache>
                <c:ptCount val="6"/>
                <c:pt idx="0">
                  <c:v>Österreich</c:v>
                </c:pt>
                <c:pt idx="1">
                  <c:v>Deutschland</c:v>
                </c:pt>
                <c:pt idx="2">
                  <c:v>Amerika</c:v>
                </c:pt>
                <c:pt idx="3">
                  <c:v>Italien</c:v>
                </c:pt>
                <c:pt idx="4">
                  <c:v>Frankreich</c:v>
                </c:pt>
                <c:pt idx="5">
                  <c:v>Holland</c:v>
                </c:pt>
              </c:strCache>
            </c:strRef>
          </c:cat>
          <c:val>
            <c:numRef>
              <c:f>Tabelle4!$D$5:$D$10</c:f>
              <c:numCache>
                <c:formatCode>General</c:formatCode>
                <c:ptCount val="6"/>
                <c:pt idx="0">
                  <c:v>1911</c:v>
                </c:pt>
                <c:pt idx="1">
                  <c:v>326</c:v>
                </c:pt>
                <c:pt idx="2">
                  <c:v>78</c:v>
                </c:pt>
                <c:pt idx="3">
                  <c:v>160</c:v>
                </c:pt>
                <c:pt idx="4">
                  <c:v>52</c:v>
                </c:pt>
                <c:pt idx="5">
                  <c:v>144</c:v>
                </c:pt>
              </c:numCache>
            </c:numRef>
          </c:val>
          <c:extLst>
            <c:ext xmlns:c16="http://schemas.microsoft.com/office/drawing/2014/chart" uri="{C3380CC4-5D6E-409C-BE32-E72D297353CC}">
              <c16:uniqueId val="{00000002-B8FE-4AD2-A6ED-51D1836D2852}"/>
            </c:ext>
          </c:extLst>
        </c:ser>
        <c:dLbls>
          <c:showLegendKey val="0"/>
          <c:showVal val="0"/>
          <c:showCatName val="0"/>
          <c:showSerName val="0"/>
          <c:showPercent val="0"/>
          <c:showBubbleSize val="0"/>
        </c:dLbls>
        <c:gapWidth val="219"/>
        <c:overlap val="-27"/>
        <c:axId val="712057584"/>
        <c:axId val="712056864"/>
      </c:barChart>
      <c:catAx>
        <c:axId val="71205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12056864"/>
        <c:crosses val="autoZero"/>
        <c:auto val="1"/>
        <c:lblAlgn val="ctr"/>
        <c:lblOffset val="100"/>
        <c:noMultiLvlLbl val="0"/>
      </c:catAx>
      <c:valAx>
        <c:axId val="71205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12057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Tabelle4!$A$11</c:f>
              <c:strCache>
                <c:ptCount val="1"/>
                <c:pt idx="0">
                  <c:v>Gesamt</c:v>
                </c:pt>
              </c:strCache>
            </c:strRef>
          </c:tx>
          <c:spPr>
            <a:solidFill>
              <a:schemeClr val="accent1"/>
            </a:solidFill>
            <a:ln>
              <a:noFill/>
            </a:ln>
            <a:effectLst/>
          </c:spPr>
          <c:invertIfNegative val="0"/>
          <c:cat>
            <c:strRef>
              <c:f>Tabelle4!$B$4:$D$4</c:f>
              <c:strCache>
                <c:ptCount val="3"/>
                <c:pt idx="0">
                  <c:v>Hotel Post</c:v>
                </c:pt>
                <c:pt idx="1">
                  <c:v>Hotel Adler</c:v>
                </c:pt>
                <c:pt idx="2">
                  <c:v>Alpenblick</c:v>
                </c:pt>
              </c:strCache>
            </c:strRef>
          </c:cat>
          <c:val>
            <c:numRef>
              <c:f>Tabelle4!$B$11:$D$11</c:f>
              <c:numCache>
                <c:formatCode>General</c:formatCode>
                <c:ptCount val="3"/>
                <c:pt idx="0">
                  <c:v>24916</c:v>
                </c:pt>
                <c:pt idx="1">
                  <c:v>14514</c:v>
                </c:pt>
                <c:pt idx="2">
                  <c:v>2671</c:v>
                </c:pt>
              </c:numCache>
            </c:numRef>
          </c:val>
          <c:extLst>
            <c:ext xmlns:c16="http://schemas.microsoft.com/office/drawing/2014/chart" uri="{C3380CC4-5D6E-409C-BE32-E72D297353CC}">
              <c16:uniqueId val="{00000000-D2BF-48C3-A89A-91D412285052}"/>
            </c:ext>
          </c:extLst>
        </c:ser>
        <c:dLbls>
          <c:showLegendKey val="0"/>
          <c:showVal val="0"/>
          <c:showCatName val="0"/>
          <c:showSerName val="0"/>
          <c:showPercent val="0"/>
          <c:showBubbleSize val="0"/>
        </c:dLbls>
        <c:gapWidth val="219"/>
        <c:overlap val="-27"/>
        <c:axId val="617171672"/>
        <c:axId val="617168792"/>
      </c:barChart>
      <c:catAx>
        <c:axId val="617171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17168792"/>
        <c:crosses val="autoZero"/>
        <c:auto val="1"/>
        <c:lblAlgn val="ctr"/>
        <c:lblOffset val="100"/>
        <c:noMultiLvlLbl val="0"/>
      </c:catAx>
      <c:valAx>
        <c:axId val="617168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17171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238125</xdr:colOff>
      <xdr:row>5</xdr:row>
      <xdr:rowOff>165100</xdr:rowOff>
    </xdr:from>
    <xdr:to>
      <xdr:col>8</xdr:col>
      <xdr:colOff>377825</xdr:colOff>
      <xdr:row>19</xdr:row>
      <xdr:rowOff>139700</xdr:rowOff>
    </xdr:to>
    <xdr:graphicFrame macro="">
      <xdr:nvGraphicFramePr>
        <xdr:cNvPr id="5" name="Diagramm 4">
          <a:extLst>
            <a:ext uri="{FF2B5EF4-FFF2-40B4-BE49-F238E27FC236}">
              <a16:creationId xmlns:a16="http://schemas.microsoft.com/office/drawing/2014/main" id="{CAFBA53D-CDC0-83E2-CA2F-CB8B499DFF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619125</xdr:colOff>
      <xdr:row>5</xdr:row>
      <xdr:rowOff>165100</xdr:rowOff>
    </xdr:from>
    <xdr:to>
      <xdr:col>14</xdr:col>
      <xdr:colOff>390525</xdr:colOff>
      <xdr:row>19</xdr:row>
      <xdr:rowOff>139700</xdr:rowOff>
    </xdr:to>
    <xdr:graphicFrame macro="">
      <xdr:nvGraphicFramePr>
        <xdr:cNvPr id="6" name="Diagramm 5">
          <a:extLst>
            <a:ext uri="{FF2B5EF4-FFF2-40B4-BE49-F238E27FC236}">
              <a16:creationId xmlns:a16="http://schemas.microsoft.com/office/drawing/2014/main" id="{AC970264-3F08-B753-E620-9D40935A3F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6127C-F4F3-466E-8FF0-EA3D6AFD8849}">
  <dimension ref="A1:M14"/>
  <sheetViews>
    <sheetView workbookViewId="0">
      <selection activeCell="I2" sqref="I2"/>
    </sheetView>
  </sheetViews>
  <sheetFormatPr baseColWidth="10" defaultRowHeight="14.5" x14ac:dyDescent="0.35"/>
  <cols>
    <col min="5" max="5" width="13.6328125" customWidth="1"/>
    <col min="6" max="6" width="11" customWidth="1"/>
  </cols>
  <sheetData>
    <row r="1" spans="1:13" ht="48" customHeight="1" x14ac:dyDescent="0.35">
      <c r="A1" s="41" t="s">
        <v>98</v>
      </c>
      <c r="B1" s="41"/>
      <c r="C1" s="41"/>
      <c r="D1" s="41"/>
      <c r="E1" s="41"/>
      <c r="F1" s="41"/>
      <c r="G1" s="41"/>
    </row>
    <row r="2" spans="1:13" ht="20.5" thickBot="1" x14ac:dyDescent="0.45">
      <c r="A2" s="3"/>
      <c r="B2" s="3"/>
      <c r="C2" s="3"/>
      <c r="D2" s="3"/>
      <c r="E2" s="3"/>
      <c r="F2" s="3"/>
      <c r="G2" s="3"/>
      <c r="H2" s="3"/>
      <c r="I2" s="36" t="s">
        <v>99</v>
      </c>
    </row>
    <row r="3" spans="1:13" ht="16" thickBot="1" x14ac:dyDescent="0.4">
      <c r="B3" s="4" t="s">
        <v>3</v>
      </c>
      <c r="C3" s="5" t="s">
        <v>4</v>
      </c>
      <c r="D3" s="3"/>
      <c r="E3" s="1" t="s">
        <v>0</v>
      </c>
      <c r="F3" s="34"/>
      <c r="G3" s="2"/>
      <c r="H3" s="3"/>
      <c r="I3" s="3"/>
      <c r="J3" s="3"/>
      <c r="K3" s="3"/>
      <c r="L3" s="3"/>
      <c r="M3" s="3"/>
    </row>
    <row r="4" spans="1:13" ht="15.5" x14ac:dyDescent="0.35">
      <c r="B4" s="6" t="s">
        <v>5</v>
      </c>
      <c r="C4" s="7">
        <v>5.99</v>
      </c>
      <c r="D4" s="3"/>
      <c r="E4" s="1" t="s">
        <v>1</v>
      </c>
      <c r="F4" s="34"/>
      <c r="G4" s="2"/>
      <c r="H4" s="3"/>
      <c r="J4" s="3"/>
      <c r="K4" s="3"/>
      <c r="L4" s="3"/>
      <c r="M4" s="3"/>
    </row>
    <row r="5" spans="1:13" ht="15.5" x14ac:dyDescent="0.35">
      <c r="B5" s="3"/>
      <c r="C5" s="7"/>
      <c r="D5" s="3"/>
      <c r="E5" s="1" t="s">
        <v>2</v>
      </c>
      <c r="F5" s="34"/>
      <c r="G5" s="2"/>
      <c r="H5" s="3"/>
      <c r="I5" s="3"/>
      <c r="J5" s="3"/>
      <c r="K5" s="3"/>
      <c r="L5" s="3"/>
      <c r="M5" s="3"/>
    </row>
    <row r="6" spans="1:13" ht="15.5" x14ac:dyDescent="0.35">
      <c r="B6" s="3"/>
      <c r="C6" s="7"/>
      <c r="D6" s="3"/>
      <c r="E6" s="3"/>
      <c r="F6" s="3"/>
      <c r="G6" s="3"/>
      <c r="H6" s="3"/>
      <c r="I6" s="3"/>
      <c r="J6" s="3"/>
      <c r="K6" s="3"/>
      <c r="L6" s="3"/>
      <c r="M6" s="3"/>
    </row>
    <row r="7" spans="1:13" ht="15.5" x14ac:dyDescent="0.35">
      <c r="B7" s="3"/>
      <c r="C7" s="7"/>
      <c r="D7" s="3"/>
      <c r="E7" s="3"/>
      <c r="F7" s="3"/>
      <c r="G7" s="3"/>
      <c r="H7" s="3"/>
      <c r="I7" s="3"/>
      <c r="J7" s="3"/>
      <c r="K7" s="3"/>
      <c r="L7" s="3"/>
      <c r="M7" s="3"/>
    </row>
    <row r="8" spans="1:13" ht="15.5" x14ac:dyDescent="0.35">
      <c r="A8" s="3"/>
      <c r="B8" s="3"/>
      <c r="C8" s="3"/>
      <c r="D8" s="3"/>
      <c r="E8" s="3"/>
      <c r="H8" s="3"/>
    </row>
    <row r="9" spans="1:13" ht="15.5" x14ac:dyDescent="0.35">
      <c r="A9" s="3"/>
      <c r="B9" s="3"/>
      <c r="C9" s="3"/>
      <c r="D9" s="3"/>
      <c r="E9" s="3"/>
      <c r="H9" s="3"/>
    </row>
    <row r="10" spans="1:13" ht="15.5" x14ac:dyDescent="0.35">
      <c r="A10" s="3"/>
      <c r="B10" s="3"/>
      <c r="C10" s="3"/>
      <c r="D10" s="3"/>
      <c r="E10" s="3"/>
      <c r="H10" s="3"/>
    </row>
    <row r="11" spans="1:13" ht="15.5" x14ac:dyDescent="0.35">
      <c r="A11" s="3"/>
      <c r="B11" s="3"/>
      <c r="C11" s="3"/>
      <c r="D11" s="3"/>
      <c r="E11" s="3"/>
      <c r="F11" s="3"/>
      <c r="G11" s="3"/>
      <c r="H11" s="3"/>
    </row>
    <row r="12" spans="1:13" ht="15.5" x14ac:dyDescent="0.35">
      <c r="A12" s="3"/>
      <c r="B12" s="3"/>
      <c r="C12" s="3"/>
      <c r="D12" s="3"/>
      <c r="E12" s="3"/>
      <c r="F12" s="3"/>
      <c r="G12" s="3"/>
      <c r="H12" s="3"/>
    </row>
    <row r="13" spans="1:13" ht="15.5" x14ac:dyDescent="0.35">
      <c r="A13" s="3"/>
      <c r="B13" s="3"/>
      <c r="C13" s="3"/>
      <c r="D13" s="3"/>
      <c r="E13" s="3"/>
      <c r="F13" s="3"/>
      <c r="G13" s="3"/>
      <c r="H13" s="3"/>
    </row>
    <row r="14" spans="1:13" ht="15.5" x14ac:dyDescent="0.35">
      <c r="A14" s="3"/>
      <c r="B14" s="3"/>
      <c r="C14" s="3"/>
      <c r="D14" s="3"/>
      <c r="E14" s="3"/>
      <c r="F14" s="3"/>
      <c r="G14" s="3"/>
      <c r="H14" s="3"/>
    </row>
  </sheetData>
  <mergeCells count="1">
    <mergeCell ref="A1:G1"/>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6EFFB-5854-406F-9E99-AC6E1ABB2F94}">
  <dimension ref="A1:I20"/>
  <sheetViews>
    <sheetView workbookViewId="0">
      <selection activeCell="F3" sqref="F3"/>
    </sheetView>
  </sheetViews>
  <sheetFormatPr baseColWidth="10" defaultRowHeight="14.5" x14ac:dyDescent="0.35"/>
  <cols>
    <col min="2" max="2" width="20.453125" customWidth="1"/>
    <col min="3" max="3" width="17.36328125" customWidth="1"/>
    <col min="4" max="4" width="21.7265625" customWidth="1"/>
  </cols>
  <sheetData>
    <row r="1" spans="1:9" ht="46" customHeight="1" x14ac:dyDescent="0.35">
      <c r="A1" s="41" t="s">
        <v>6</v>
      </c>
      <c r="B1" s="41"/>
      <c r="C1" s="41"/>
      <c r="D1" s="41"/>
      <c r="E1" s="41"/>
      <c r="F1" s="41"/>
      <c r="G1" s="41"/>
      <c r="H1" s="3"/>
      <c r="I1" s="3"/>
    </row>
    <row r="2" spans="1:9" ht="15.5" x14ac:dyDescent="0.35">
      <c r="A2" s="3"/>
      <c r="B2" s="3"/>
      <c r="C2" s="3"/>
      <c r="D2" s="3"/>
      <c r="E2" s="3"/>
      <c r="F2" s="3"/>
      <c r="G2" s="3"/>
      <c r="H2" s="3"/>
      <c r="I2" s="3"/>
    </row>
    <row r="3" spans="1:9" ht="20" x14ac:dyDescent="0.4">
      <c r="A3" s="3"/>
      <c r="B3" s="1" t="s">
        <v>7</v>
      </c>
      <c r="C3" s="1" t="s">
        <v>100</v>
      </c>
      <c r="D3" s="1" t="s">
        <v>101</v>
      </c>
      <c r="E3" s="3"/>
      <c r="F3" s="36" t="s">
        <v>102</v>
      </c>
      <c r="G3" s="3"/>
      <c r="H3" s="3"/>
      <c r="I3" s="3"/>
    </row>
    <row r="4" spans="1:9" ht="15.5" x14ac:dyDescent="0.35">
      <c r="A4" s="3"/>
      <c r="B4" s="35">
        <v>4585</v>
      </c>
      <c r="C4" s="35"/>
      <c r="D4" s="35"/>
      <c r="E4" s="3"/>
      <c r="F4" s="3"/>
      <c r="G4" s="3"/>
      <c r="H4" s="3"/>
      <c r="I4" s="3"/>
    </row>
    <row r="5" spans="1:9" ht="15.5" x14ac:dyDescent="0.35">
      <c r="A5" s="3"/>
      <c r="B5" s="35">
        <v>5541</v>
      </c>
      <c r="C5" s="35"/>
      <c r="D5" s="35"/>
      <c r="E5" s="3"/>
      <c r="F5" s="3"/>
      <c r="G5" s="3"/>
      <c r="H5" s="3"/>
      <c r="I5" s="3"/>
    </row>
    <row r="6" spans="1:9" ht="15.5" x14ac:dyDescent="0.35">
      <c r="A6" s="3"/>
      <c r="B6" s="35">
        <v>12</v>
      </c>
      <c r="C6" s="35"/>
      <c r="D6" s="35"/>
      <c r="E6" s="3"/>
      <c r="F6" s="3"/>
      <c r="G6" s="3"/>
      <c r="H6" s="3"/>
      <c r="I6" s="3"/>
    </row>
    <row r="7" spans="1:9" ht="15.5" x14ac:dyDescent="0.35">
      <c r="A7" s="3"/>
      <c r="B7" s="35">
        <v>456</v>
      </c>
      <c r="C7" s="35"/>
      <c r="D7" s="35"/>
      <c r="E7" s="3"/>
      <c r="F7" s="3"/>
      <c r="G7" s="3"/>
      <c r="H7" s="3"/>
      <c r="I7" s="3"/>
    </row>
    <row r="8" spans="1:9" ht="15.5" x14ac:dyDescent="0.35">
      <c r="A8" s="3"/>
      <c r="B8" s="35">
        <v>84</v>
      </c>
      <c r="C8" s="35"/>
      <c r="D8" s="35"/>
      <c r="E8" s="3"/>
      <c r="F8" s="3"/>
      <c r="G8" s="3"/>
      <c r="H8" s="3"/>
      <c r="I8" s="3"/>
    </row>
    <row r="9" spans="1:9" ht="15.5" x14ac:dyDescent="0.35">
      <c r="A9" s="3"/>
      <c r="B9" s="35">
        <v>44</v>
      </c>
      <c r="C9" s="35"/>
      <c r="D9" s="35"/>
      <c r="E9" s="3"/>
      <c r="F9" s="3"/>
      <c r="G9" s="3"/>
      <c r="H9" s="3"/>
      <c r="I9" s="3"/>
    </row>
    <row r="10" spans="1:9" ht="15.5" x14ac:dyDescent="0.35">
      <c r="A10" s="3"/>
      <c r="B10" s="3"/>
      <c r="C10" s="3"/>
      <c r="D10" s="3"/>
      <c r="E10" s="3"/>
      <c r="F10" s="3"/>
      <c r="G10" s="3"/>
      <c r="H10" s="3"/>
      <c r="I10" s="3"/>
    </row>
    <row r="11" spans="1:9" ht="15.5" x14ac:dyDescent="0.35">
      <c r="A11" s="3"/>
      <c r="B11" s="3"/>
      <c r="C11" s="3"/>
      <c r="D11" s="3"/>
      <c r="E11" s="3"/>
      <c r="F11" s="3"/>
      <c r="G11" s="3"/>
      <c r="H11" s="3"/>
      <c r="I11" s="3"/>
    </row>
    <row r="12" spans="1:9" ht="15.5" x14ac:dyDescent="0.35">
      <c r="A12" s="3"/>
      <c r="B12" s="3"/>
      <c r="C12" s="3"/>
      <c r="D12" s="3"/>
      <c r="E12" s="3"/>
      <c r="F12" s="3"/>
      <c r="G12" s="3"/>
      <c r="H12" s="3"/>
      <c r="I12" s="3"/>
    </row>
    <row r="13" spans="1:9" ht="15.5" x14ac:dyDescent="0.35">
      <c r="A13" s="3"/>
      <c r="D13" s="3"/>
    </row>
    <row r="14" spans="1:9" ht="15.5" x14ac:dyDescent="0.35">
      <c r="A14" s="3"/>
    </row>
    <row r="15" spans="1:9" ht="15.5" x14ac:dyDescent="0.35">
      <c r="A15" s="3"/>
    </row>
    <row r="16" spans="1:9" ht="15.5" x14ac:dyDescent="0.35">
      <c r="A16" s="3"/>
    </row>
    <row r="17" spans="1:1" ht="15.5" x14ac:dyDescent="0.35">
      <c r="A17" s="3"/>
    </row>
    <row r="18" spans="1:1" ht="15.5" x14ac:dyDescent="0.35">
      <c r="A18" s="3"/>
    </row>
    <row r="19" spans="1:1" ht="15.5" x14ac:dyDescent="0.35">
      <c r="A19" s="3"/>
    </row>
    <row r="20" spans="1:1" ht="15.5" x14ac:dyDescent="0.35">
      <c r="A20" s="3"/>
    </row>
  </sheetData>
  <mergeCells count="1">
    <mergeCell ref="A1:G1"/>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2A738-6E9D-4379-9146-C1902A6F3018}">
  <dimension ref="A1:O24"/>
  <sheetViews>
    <sheetView workbookViewId="0">
      <selection activeCell="I15" sqref="I15"/>
    </sheetView>
  </sheetViews>
  <sheetFormatPr baseColWidth="10" defaultColWidth="11.453125" defaultRowHeight="15.5" x14ac:dyDescent="0.35"/>
  <cols>
    <col min="1" max="1" width="15.7265625" style="3" customWidth="1"/>
    <col min="2" max="2" width="15" style="3" bestFit="1" customWidth="1"/>
    <col min="3" max="3" width="13" style="3" bestFit="1" customWidth="1"/>
    <col min="4" max="4" width="11.453125" style="3"/>
    <col min="5" max="5" width="13.90625" style="3" customWidth="1"/>
    <col min="6" max="6" width="22.81640625" style="3" customWidth="1"/>
    <col min="7" max="16384" width="11.453125" style="3"/>
  </cols>
  <sheetData>
    <row r="1" spans="1:15" ht="47" customHeight="1" x14ac:dyDescent="0.35">
      <c r="A1" s="41" t="s">
        <v>8</v>
      </c>
      <c r="B1" s="41"/>
      <c r="C1" s="41"/>
      <c r="D1" s="41"/>
      <c r="E1" s="41"/>
      <c r="F1" s="41"/>
      <c r="G1" s="41"/>
    </row>
    <row r="3" spans="1:15" x14ac:dyDescent="0.35">
      <c r="A3" s="10" t="s">
        <v>9</v>
      </c>
      <c r="B3" s="11" t="s">
        <v>10</v>
      </c>
      <c r="C3" s="11" t="s">
        <v>11</v>
      </c>
      <c r="D3" s="11" t="s">
        <v>12</v>
      </c>
    </row>
    <row r="4" spans="1:15" x14ac:dyDescent="0.35">
      <c r="A4" s="1" t="s">
        <v>13</v>
      </c>
      <c r="B4" s="9">
        <v>4.5</v>
      </c>
      <c r="C4" s="8"/>
      <c r="D4" s="12"/>
      <c r="F4" s="1" t="s">
        <v>14</v>
      </c>
      <c r="G4" s="13">
        <v>20</v>
      </c>
    </row>
    <row r="5" spans="1:15" x14ac:dyDescent="0.35">
      <c r="A5" s="1" t="s">
        <v>15</v>
      </c>
      <c r="B5" s="9">
        <v>15.8</v>
      </c>
      <c r="C5" s="8"/>
      <c r="D5" s="12"/>
      <c r="F5" s="1" t="s">
        <v>14</v>
      </c>
      <c r="G5" s="1">
        <v>10</v>
      </c>
    </row>
    <row r="6" spans="1:15" x14ac:dyDescent="0.35">
      <c r="A6" s="1" t="s">
        <v>16</v>
      </c>
      <c r="B6" s="9">
        <v>47.4</v>
      </c>
      <c r="C6" s="8"/>
      <c r="D6" s="12"/>
      <c r="F6" s="1" t="s">
        <v>14</v>
      </c>
      <c r="G6" s="1">
        <v>13</v>
      </c>
    </row>
    <row r="7" spans="1:15" x14ac:dyDescent="0.35">
      <c r="A7" s="1" t="s">
        <v>17</v>
      </c>
      <c r="B7" s="9">
        <v>13</v>
      </c>
      <c r="C7" s="8"/>
      <c r="D7" s="12"/>
    </row>
    <row r="9" spans="1:15" x14ac:dyDescent="0.35">
      <c r="A9" s="10" t="s">
        <v>18</v>
      </c>
      <c r="B9" s="11" t="s">
        <v>10</v>
      </c>
      <c r="C9" s="11" t="s">
        <v>11</v>
      </c>
      <c r="D9" s="11" t="s">
        <v>12</v>
      </c>
    </row>
    <row r="10" spans="1:15" x14ac:dyDescent="0.35">
      <c r="A10" s="1" t="s">
        <v>13</v>
      </c>
      <c r="B10" s="9"/>
      <c r="C10" s="8"/>
      <c r="D10" s="9">
        <v>4.5</v>
      </c>
    </row>
    <row r="11" spans="1:15" x14ac:dyDescent="0.35">
      <c r="A11" s="1" t="s">
        <v>15</v>
      </c>
      <c r="B11" s="9"/>
      <c r="C11" s="8"/>
      <c r="D11" s="9">
        <v>15.8</v>
      </c>
    </row>
    <row r="12" spans="1:15" x14ac:dyDescent="0.35">
      <c r="A12" s="1" t="s">
        <v>16</v>
      </c>
      <c r="B12" s="9"/>
      <c r="C12" s="8"/>
      <c r="D12" s="9">
        <v>47.4</v>
      </c>
    </row>
    <row r="13" spans="1:15" x14ac:dyDescent="0.35">
      <c r="A13" s="1" t="s">
        <v>17</v>
      </c>
      <c r="B13" s="9"/>
      <c r="C13" s="8"/>
      <c r="D13" s="9">
        <v>13</v>
      </c>
      <c r="K13" s="42"/>
      <c r="L13" s="42"/>
      <c r="M13" s="42"/>
      <c r="N13" s="42"/>
      <c r="O13" s="42"/>
    </row>
    <row r="15" spans="1:15" ht="20" x14ac:dyDescent="0.4">
      <c r="A15" s="10" t="s">
        <v>19</v>
      </c>
      <c r="B15" s="11" t="s">
        <v>10</v>
      </c>
      <c r="C15" s="11" t="s">
        <v>11</v>
      </c>
      <c r="D15" s="11" t="s">
        <v>12</v>
      </c>
      <c r="I15" s="36" t="s">
        <v>105</v>
      </c>
    </row>
    <row r="16" spans="1:15" x14ac:dyDescent="0.35">
      <c r="A16" s="1" t="s">
        <v>13</v>
      </c>
      <c r="B16" s="9"/>
      <c r="C16" s="9">
        <v>4.5</v>
      </c>
      <c r="D16" s="9"/>
    </row>
    <row r="17" spans="1:9" x14ac:dyDescent="0.35">
      <c r="A17" s="1" t="s">
        <v>15</v>
      </c>
      <c r="B17" s="9"/>
      <c r="C17" s="9">
        <v>15.8</v>
      </c>
      <c r="D17" s="9"/>
    </row>
    <row r="18" spans="1:9" x14ac:dyDescent="0.35">
      <c r="A18" s="1" t="s">
        <v>16</v>
      </c>
      <c r="B18" s="9"/>
      <c r="C18" s="9">
        <v>47.4</v>
      </c>
      <c r="D18" s="9"/>
    </row>
    <row r="19" spans="1:9" x14ac:dyDescent="0.35">
      <c r="A19" s="1" t="s">
        <v>17</v>
      </c>
      <c r="B19" s="9"/>
      <c r="C19" s="9">
        <v>13</v>
      </c>
      <c r="D19" s="9"/>
    </row>
    <row r="22" spans="1:9" x14ac:dyDescent="0.35">
      <c r="A22" s="41" t="s">
        <v>103</v>
      </c>
      <c r="B22" s="41"/>
      <c r="C22" s="41"/>
      <c r="D22" s="41"/>
      <c r="E22" s="41"/>
      <c r="F22" s="41"/>
      <c r="G22" s="41"/>
    </row>
    <row r="23" spans="1:9" ht="20.5" thickBot="1" x14ac:dyDescent="0.45">
      <c r="I23" s="36" t="s">
        <v>104</v>
      </c>
    </row>
    <row r="24" spans="1:9" ht="16" thickBot="1" x14ac:dyDescent="0.4">
      <c r="A24" s="14"/>
    </row>
  </sheetData>
  <mergeCells count="3">
    <mergeCell ref="K13:O13"/>
    <mergeCell ref="A1:G1"/>
    <mergeCell ref="A22:G22"/>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2B9C9-932A-4398-9611-9F192D12E7E8}">
  <dimension ref="A1:K11"/>
  <sheetViews>
    <sheetView workbookViewId="0">
      <selection activeCell="F4" sqref="F4"/>
    </sheetView>
  </sheetViews>
  <sheetFormatPr baseColWidth="10" defaultColWidth="11.453125" defaultRowHeight="15.5" x14ac:dyDescent="0.35"/>
  <cols>
    <col min="1" max="1" width="15.7265625" style="3" customWidth="1"/>
    <col min="2" max="2" width="15" style="3" bestFit="1" customWidth="1"/>
    <col min="3" max="3" width="13" style="3" bestFit="1" customWidth="1"/>
    <col min="4" max="4" width="11.453125" style="3"/>
    <col min="5" max="5" width="17.7265625" style="3" customWidth="1"/>
    <col min="6" max="6" width="22.81640625" style="3" customWidth="1"/>
    <col min="7" max="16384" width="11.453125" style="3"/>
  </cols>
  <sheetData>
    <row r="1" spans="1:11" ht="86" customHeight="1" x14ac:dyDescent="0.35">
      <c r="A1" s="41" t="s">
        <v>20</v>
      </c>
      <c r="B1" s="41"/>
      <c r="C1" s="41"/>
      <c r="D1" s="41"/>
      <c r="E1" s="41"/>
      <c r="F1" s="41"/>
      <c r="G1" s="41"/>
    </row>
    <row r="3" spans="1:11" ht="17.5" x14ac:dyDescent="0.35">
      <c r="A3" s="43" t="s">
        <v>21</v>
      </c>
      <c r="B3" s="43"/>
      <c r="C3" s="43"/>
      <c r="D3" s="43"/>
    </row>
    <row r="4" spans="1:11" ht="20" x14ac:dyDescent="0.4">
      <c r="A4" s="15" t="s">
        <v>22</v>
      </c>
      <c r="B4" s="15" t="s">
        <v>23</v>
      </c>
      <c r="C4" s="15" t="s">
        <v>24</v>
      </c>
      <c r="D4" s="15" t="s">
        <v>25</v>
      </c>
      <c r="F4" s="36" t="s">
        <v>106</v>
      </c>
      <c r="K4" s="36" t="s">
        <v>108</v>
      </c>
    </row>
    <row r="5" spans="1:11" ht="20" x14ac:dyDescent="0.4">
      <c r="A5" s="3" t="s">
        <v>26</v>
      </c>
      <c r="B5" s="3">
        <v>6500</v>
      </c>
      <c r="C5" s="3">
        <v>7290</v>
      </c>
      <c r="D5" s="3">
        <v>1911</v>
      </c>
      <c r="F5" s="36" t="s">
        <v>107</v>
      </c>
    </row>
    <row r="6" spans="1:11" x14ac:dyDescent="0.35">
      <c r="A6" s="3" t="s">
        <v>27</v>
      </c>
      <c r="B6" s="3">
        <v>12355</v>
      </c>
      <c r="C6" s="3">
        <v>4867</v>
      </c>
      <c r="D6" s="3">
        <v>326</v>
      </c>
    </row>
    <row r="7" spans="1:11" x14ac:dyDescent="0.35">
      <c r="A7" s="3" t="s">
        <v>28</v>
      </c>
      <c r="B7" s="3">
        <v>1323</v>
      </c>
      <c r="C7" s="3">
        <v>542</v>
      </c>
      <c r="D7" s="3">
        <v>78</v>
      </c>
    </row>
    <row r="8" spans="1:11" x14ac:dyDescent="0.35">
      <c r="A8" s="3" t="s">
        <v>29</v>
      </c>
      <c r="B8" s="3">
        <v>2149</v>
      </c>
      <c r="C8" s="3">
        <v>634</v>
      </c>
      <c r="D8" s="3">
        <v>160</v>
      </c>
    </row>
    <row r="9" spans="1:11" x14ac:dyDescent="0.35">
      <c r="A9" s="3" t="s">
        <v>30</v>
      </c>
      <c r="B9" s="3">
        <v>2068</v>
      </c>
      <c r="C9" s="3">
        <v>469</v>
      </c>
      <c r="D9" s="3">
        <v>52</v>
      </c>
    </row>
    <row r="10" spans="1:11" ht="16" thickBot="1" x14ac:dyDescent="0.4">
      <c r="A10" s="3" t="s">
        <v>31</v>
      </c>
      <c r="B10" s="3">
        <v>521</v>
      </c>
      <c r="C10" s="3">
        <v>712</v>
      </c>
      <c r="D10" s="3">
        <v>144</v>
      </c>
    </row>
    <row r="11" spans="1:11" ht="16" thickBot="1" x14ac:dyDescent="0.4">
      <c r="A11" s="16" t="s">
        <v>32</v>
      </c>
      <c r="B11" s="17">
        <f>SUM(B5:B10)</f>
        <v>24916</v>
      </c>
      <c r="C11" s="17">
        <f t="shared" ref="C11:D11" si="0">SUM(C5:C10)</f>
        <v>14514</v>
      </c>
      <c r="D11" s="18">
        <f t="shared" si="0"/>
        <v>2671</v>
      </c>
    </row>
  </sheetData>
  <mergeCells count="2">
    <mergeCell ref="A3:D3"/>
    <mergeCell ref="A1:G1"/>
  </mergeCells>
  <pageMargins left="0.7" right="0.7" top="0.78740157499999996" bottom="0.78740157499999996"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D2BF1-4D4A-40D0-AD70-F6116352C315}">
  <dimension ref="A1:G10"/>
  <sheetViews>
    <sheetView workbookViewId="0">
      <selection activeCell="A2" sqref="A2"/>
    </sheetView>
  </sheetViews>
  <sheetFormatPr baseColWidth="10" defaultColWidth="9.1796875" defaultRowHeight="14" x14ac:dyDescent="0.3"/>
  <cols>
    <col min="1" max="1" width="12.26953125" style="19" customWidth="1"/>
    <col min="2" max="2" width="24" style="19" customWidth="1"/>
    <col min="3" max="3" width="14.1796875" style="19" bestFit="1" customWidth="1"/>
    <col min="4" max="4" width="9.1796875" style="19"/>
    <col min="5" max="5" width="13.7265625" style="19" customWidth="1"/>
    <col min="6" max="6" width="13.26953125" style="19" customWidth="1"/>
    <col min="7" max="16384" width="9.1796875" style="19"/>
  </cols>
  <sheetData>
    <row r="1" spans="1:7" ht="43" customHeight="1" x14ac:dyDescent="0.3">
      <c r="A1" s="41" t="s">
        <v>118</v>
      </c>
      <c r="B1" s="41"/>
      <c r="C1" s="41"/>
      <c r="D1" s="41"/>
      <c r="E1" s="41"/>
      <c r="F1" s="41"/>
      <c r="G1" s="41"/>
    </row>
    <row r="3" spans="1:7" ht="15" x14ac:dyDescent="0.3">
      <c r="A3" s="20" t="s">
        <v>33</v>
      </c>
      <c r="B3" s="20" t="s">
        <v>34</v>
      </c>
      <c r="C3" s="20" t="s">
        <v>35</v>
      </c>
    </row>
    <row r="4" spans="1:7" x14ac:dyDescent="0.3">
      <c r="A4" s="19" t="s">
        <v>36</v>
      </c>
      <c r="B4" s="21">
        <v>124666</v>
      </c>
      <c r="C4" s="21"/>
      <c r="G4" s="21"/>
    </row>
    <row r="5" spans="1:7" x14ac:dyDescent="0.3">
      <c r="A5" s="19" t="s">
        <v>37</v>
      </c>
      <c r="B5" s="21">
        <v>520</v>
      </c>
      <c r="C5" s="21"/>
      <c r="G5" s="21"/>
    </row>
    <row r="6" spans="1:7" x14ac:dyDescent="0.3">
      <c r="A6" s="19" t="s">
        <v>38</v>
      </c>
      <c r="B6" s="21">
        <v>1455555</v>
      </c>
      <c r="C6" s="21"/>
    </row>
    <row r="7" spans="1:7" x14ac:dyDescent="0.3">
      <c r="A7" s="19" t="s">
        <v>39</v>
      </c>
      <c r="B7" s="21">
        <v>300000</v>
      </c>
      <c r="C7" s="21"/>
    </row>
    <row r="8" spans="1:7" x14ac:dyDescent="0.3">
      <c r="A8" s="19" t="s">
        <v>40</v>
      </c>
      <c r="B8" s="21">
        <v>300001</v>
      </c>
      <c r="C8" s="21"/>
    </row>
    <row r="9" spans="1:7" x14ac:dyDescent="0.3">
      <c r="A9" s="19" t="s">
        <v>41</v>
      </c>
      <c r="B9" s="21">
        <v>21444</v>
      </c>
      <c r="C9" s="21"/>
    </row>
    <row r="10" spans="1:7" x14ac:dyDescent="0.3">
      <c r="A10" s="19" t="s">
        <v>42</v>
      </c>
      <c r="B10" s="21">
        <v>6868963</v>
      </c>
      <c r="C10" s="21"/>
    </row>
  </sheetData>
  <mergeCells count="1">
    <mergeCell ref="A1:G1"/>
  </mergeCell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695C8-78D2-469C-8A14-621C4E6E88DE}">
  <dimension ref="A1:G21"/>
  <sheetViews>
    <sheetView workbookViewId="0">
      <selection activeCell="A4" sqref="A4"/>
    </sheetView>
  </sheetViews>
  <sheetFormatPr baseColWidth="10" defaultColWidth="9.1796875" defaultRowHeight="14" x14ac:dyDescent="0.3"/>
  <cols>
    <col min="1" max="1" width="14.453125" style="19" customWidth="1"/>
    <col min="2" max="2" width="24" style="19" customWidth="1"/>
    <col min="3" max="3" width="19.54296875" style="19" customWidth="1"/>
    <col min="4" max="4" width="9.1796875" style="19"/>
    <col min="5" max="5" width="13.7265625" style="19" customWidth="1"/>
    <col min="6" max="6" width="13.26953125" style="19" customWidth="1"/>
    <col min="7" max="16384" width="9.1796875" style="19"/>
  </cols>
  <sheetData>
    <row r="1" spans="1:7" ht="44" customHeight="1" x14ac:dyDescent="0.3">
      <c r="A1" s="41" t="s">
        <v>117</v>
      </c>
      <c r="B1" s="41"/>
      <c r="C1" s="41"/>
      <c r="D1" s="41"/>
      <c r="E1" s="41"/>
      <c r="F1" s="41"/>
      <c r="G1" s="41"/>
    </row>
    <row r="3" spans="1:7" ht="20" x14ac:dyDescent="0.4">
      <c r="A3" s="37" t="s">
        <v>43</v>
      </c>
      <c r="B3" s="37" t="s">
        <v>44</v>
      </c>
      <c r="C3" s="36" t="s">
        <v>110</v>
      </c>
    </row>
    <row r="4" spans="1:7" x14ac:dyDescent="0.3">
      <c r="A4" s="22" t="s">
        <v>45</v>
      </c>
      <c r="B4" s="21"/>
      <c r="G4" s="21"/>
    </row>
    <row r="5" spans="1:7" x14ac:dyDescent="0.3">
      <c r="A5" s="22" t="s">
        <v>45</v>
      </c>
      <c r="B5" s="21"/>
      <c r="G5" s="21"/>
    </row>
    <row r="6" spans="1:7" x14ac:dyDescent="0.3">
      <c r="A6" s="22" t="s">
        <v>47</v>
      </c>
      <c r="B6" s="21"/>
      <c r="D6" s="23" t="s">
        <v>45</v>
      </c>
      <c r="E6" s="24" t="s">
        <v>46</v>
      </c>
    </row>
    <row r="7" spans="1:7" x14ac:dyDescent="0.3">
      <c r="A7" s="22" t="s">
        <v>47</v>
      </c>
      <c r="B7" s="21"/>
      <c r="D7" s="23" t="s">
        <v>47</v>
      </c>
      <c r="E7" s="24" t="s">
        <v>48</v>
      </c>
    </row>
    <row r="8" spans="1:7" x14ac:dyDescent="0.3">
      <c r="A8" s="22" t="s">
        <v>49</v>
      </c>
      <c r="B8" s="21"/>
      <c r="D8" s="23" t="s">
        <v>49</v>
      </c>
      <c r="E8" s="24" t="s">
        <v>50</v>
      </c>
    </row>
    <row r="9" spans="1:7" ht="20" x14ac:dyDescent="0.4">
      <c r="A9" s="22" t="s">
        <v>45</v>
      </c>
      <c r="B9" s="21"/>
      <c r="G9" s="36" t="s">
        <v>111</v>
      </c>
    </row>
    <row r="10" spans="1:7" x14ac:dyDescent="0.3">
      <c r="A10" s="22" t="s">
        <v>45</v>
      </c>
      <c r="B10" s="21"/>
    </row>
    <row r="14" spans="1:7" ht="20" x14ac:dyDescent="0.4">
      <c r="A14" s="37" t="s">
        <v>43</v>
      </c>
      <c r="B14" s="37" t="s">
        <v>44</v>
      </c>
      <c r="C14" s="36" t="s">
        <v>109</v>
      </c>
    </row>
    <row r="15" spans="1:7" x14ac:dyDescent="0.3">
      <c r="A15" s="22" t="s">
        <v>45</v>
      </c>
      <c r="B15" s="21"/>
    </row>
    <row r="16" spans="1:7" x14ac:dyDescent="0.3">
      <c r="A16" s="22" t="s">
        <v>45</v>
      </c>
      <c r="B16" s="21"/>
    </row>
    <row r="17" spans="1:2" x14ac:dyDescent="0.3">
      <c r="A17" s="22" t="s">
        <v>47</v>
      </c>
      <c r="B17" s="21"/>
    </row>
    <row r="18" spans="1:2" x14ac:dyDescent="0.3">
      <c r="A18" s="22" t="s">
        <v>47</v>
      </c>
      <c r="B18" s="21"/>
    </row>
    <row r="19" spans="1:2" x14ac:dyDescent="0.3">
      <c r="A19" s="22" t="s">
        <v>49</v>
      </c>
      <c r="B19" s="21"/>
    </row>
    <row r="20" spans="1:2" x14ac:dyDescent="0.3">
      <c r="A20" s="22" t="s">
        <v>45</v>
      </c>
      <c r="B20" s="21"/>
    </row>
    <row r="21" spans="1:2" x14ac:dyDescent="0.3">
      <c r="A21" s="22" t="s">
        <v>45</v>
      </c>
      <c r="B21" s="21"/>
    </row>
  </sheetData>
  <mergeCells count="1">
    <mergeCell ref="A1:G1"/>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65358-34B0-4EAE-936B-B93407B0C8F8}">
  <dimension ref="A2:J117"/>
  <sheetViews>
    <sheetView workbookViewId="0">
      <selection activeCell="G8" sqref="G8"/>
    </sheetView>
  </sheetViews>
  <sheetFormatPr baseColWidth="10" defaultColWidth="11.453125" defaultRowHeight="15.5" outlineLevelRow="2" x14ac:dyDescent="0.35"/>
  <cols>
    <col min="1" max="3" width="11.453125" style="3"/>
    <col min="4" max="4" width="11.6328125" style="3" bestFit="1" customWidth="1"/>
    <col min="5" max="5" width="11.08984375" style="3" bestFit="1" customWidth="1"/>
    <col min="6" max="16384" width="11.453125" style="3"/>
  </cols>
  <sheetData>
    <row r="2" spans="1:7" ht="27.5" x14ac:dyDescent="0.55000000000000004">
      <c r="A2" s="44" t="s">
        <v>51</v>
      </c>
      <c r="B2" s="44"/>
      <c r="C2" s="44"/>
      <c r="D2" s="44"/>
      <c r="E2" s="44"/>
    </row>
    <row r="4" spans="1:7" x14ac:dyDescent="0.35">
      <c r="G4" s="3" t="s">
        <v>52</v>
      </c>
    </row>
    <row r="5" spans="1:7" x14ac:dyDescent="0.35">
      <c r="A5" s="25" t="s">
        <v>53</v>
      </c>
      <c r="B5" s="25" t="s">
        <v>44</v>
      </c>
      <c r="C5" s="25" t="s">
        <v>54</v>
      </c>
      <c r="D5" s="25" t="s">
        <v>55</v>
      </c>
      <c r="E5" s="25" t="s">
        <v>56</v>
      </c>
      <c r="G5" s="3" t="s">
        <v>57</v>
      </c>
    </row>
    <row r="6" spans="1:7" outlineLevel="2" x14ac:dyDescent="0.35">
      <c r="A6" s="26" t="s">
        <v>58</v>
      </c>
      <c r="B6" s="26" t="s">
        <v>59</v>
      </c>
      <c r="C6" s="27">
        <v>12181</v>
      </c>
      <c r="D6" s="28">
        <v>44123</v>
      </c>
      <c r="E6" s="26" t="s">
        <v>60</v>
      </c>
    </row>
    <row r="7" spans="1:7" outlineLevel="1" x14ac:dyDescent="0.35">
      <c r="A7" s="26"/>
      <c r="B7" s="29" t="s">
        <v>61</v>
      </c>
      <c r="C7" s="27"/>
      <c r="D7" s="28"/>
      <c r="E7" s="26">
        <f>SUBTOTAL(3,E6:E6)</f>
        <v>1</v>
      </c>
    </row>
    <row r="8" spans="1:7" ht="20" outlineLevel="2" x14ac:dyDescent="0.4">
      <c r="A8" s="26" t="s">
        <v>62</v>
      </c>
      <c r="B8" s="26" t="s">
        <v>63</v>
      </c>
      <c r="C8" s="27">
        <v>95407</v>
      </c>
      <c r="D8" s="28">
        <v>37756</v>
      </c>
      <c r="E8" s="26" t="s">
        <v>64</v>
      </c>
      <c r="G8" s="36" t="s">
        <v>112</v>
      </c>
    </row>
    <row r="9" spans="1:7" ht="20" outlineLevel="1" x14ac:dyDescent="0.4">
      <c r="A9" s="26"/>
      <c r="B9" s="29" t="s">
        <v>65</v>
      </c>
      <c r="C9" s="27"/>
      <c r="D9" s="28"/>
      <c r="E9" s="26">
        <f>SUBTOTAL(3,E8:E8)</f>
        <v>1</v>
      </c>
      <c r="G9" s="36" t="s">
        <v>113</v>
      </c>
    </row>
    <row r="10" spans="1:7" outlineLevel="2" x14ac:dyDescent="0.35">
      <c r="A10" s="26" t="s">
        <v>66</v>
      </c>
      <c r="B10" s="26" t="s">
        <v>67</v>
      </c>
      <c r="C10" s="27" t="s">
        <v>68</v>
      </c>
      <c r="D10" s="28">
        <v>31119</v>
      </c>
      <c r="E10" s="26" t="s">
        <v>69</v>
      </c>
    </row>
    <row r="11" spans="1:7" outlineLevel="2" x14ac:dyDescent="0.35">
      <c r="A11" s="26" t="s">
        <v>70</v>
      </c>
      <c r="B11" s="26" t="s">
        <v>67</v>
      </c>
      <c r="C11" s="27" t="s">
        <v>68</v>
      </c>
      <c r="D11" s="28">
        <v>37626</v>
      </c>
      <c r="E11" s="26" t="s">
        <v>60</v>
      </c>
    </row>
    <row r="12" spans="1:7" outlineLevel="1" x14ac:dyDescent="0.35">
      <c r="A12" s="26"/>
      <c r="B12" s="29" t="s">
        <v>71</v>
      </c>
      <c r="C12" s="27"/>
      <c r="D12" s="28"/>
      <c r="E12" s="26">
        <f>SUBTOTAL(3,E10:E11)</f>
        <v>2</v>
      </c>
    </row>
    <row r="13" spans="1:7" outlineLevel="2" x14ac:dyDescent="0.35">
      <c r="A13" s="26" t="s">
        <v>72</v>
      </c>
      <c r="B13" s="26" t="s">
        <v>73</v>
      </c>
      <c r="C13" s="27" t="s">
        <v>74</v>
      </c>
      <c r="D13" s="28">
        <v>42372</v>
      </c>
      <c r="E13" s="26" t="s">
        <v>64</v>
      </c>
    </row>
    <row r="14" spans="1:7" outlineLevel="1" x14ac:dyDescent="0.35">
      <c r="A14" s="26"/>
      <c r="B14" s="29" t="s">
        <v>75</v>
      </c>
      <c r="C14" s="27"/>
      <c r="D14" s="28"/>
      <c r="E14" s="26">
        <f>SUBTOTAL(3,E13:E13)</f>
        <v>1</v>
      </c>
    </row>
    <row r="15" spans="1:7" outlineLevel="2" x14ac:dyDescent="0.35">
      <c r="A15" s="26" t="s">
        <v>76</v>
      </c>
      <c r="B15" s="26" t="s">
        <v>63</v>
      </c>
      <c r="C15" s="27">
        <v>95407</v>
      </c>
      <c r="D15" s="28">
        <v>14</v>
      </c>
      <c r="E15" s="26" t="s">
        <v>60</v>
      </c>
    </row>
    <row r="16" spans="1:7" outlineLevel="1" x14ac:dyDescent="0.35">
      <c r="A16" s="26"/>
      <c r="B16" s="29" t="s">
        <v>65</v>
      </c>
      <c r="C16" s="27"/>
      <c r="D16" s="28"/>
      <c r="E16" s="26">
        <f>SUBTOTAL(3,E15:E15)</f>
        <v>1</v>
      </c>
    </row>
    <row r="17" spans="1:10" outlineLevel="2" x14ac:dyDescent="0.35">
      <c r="A17" s="26" t="s">
        <v>77</v>
      </c>
      <c r="B17" s="26" t="s">
        <v>73</v>
      </c>
      <c r="C17" s="27" t="s">
        <v>74</v>
      </c>
      <c r="D17" s="28">
        <v>31058</v>
      </c>
      <c r="E17" s="26" t="s">
        <v>69</v>
      </c>
    </row>
    <row r="18" spans="1:10" outlineLevel="1" x14ac:dyDescent="0.35">
      <c r="A18" s="26"/>
      <c r="B18" s="29" t="s">
        <v>75</v>
      </c>
      <c r="C18" s="27"/>
      <c r="D18" s="28"/>
      <c r="E18" s="26">
        <f>SUBTOTAL(3,E17:E17)</f>
        <v>1</v>
      </c>
    </row>
    <row r="19" spans="1:10" outlineLevel="2" x14ac:dyDescent="0.35">
      <c r="A19" s="26" t="s">
        <v>78</v>
      </c>
      <c r="B19" s="26" t="s">
        <v>63</v>
      </c>
      <c r="C19" s="27">
        <v>95407</v>
      </c>
      <c r="D19" s="28">
        <v>39102</v>
      </c>
      <c r="E19" s="26" t="s">
        <v>60</v>
      </c>
    </row>
    <row r="20" spans="1:10" outlineLevel="1" x14ac:dyDescent="0.35">
      <c r="A20" s="26"/>
      <c r="B20" s="29" t="s">
        <v>65</v>
      </c>
      <c r="C20" s="27"/>
      <c r="D20" s="28"/>
      <c r="E20" s="26">
        <f>SUBTOTAL(3,E19:E19)</f>
        <v>1</v>
      </c>
    </row>
    <row r="21" spans="1:10" outlineLevel="2" x14ac:dyDescent="0.35">
      <c r="A21" s="26" t="s">
        <v>79</v>
      </c>
      <c r="B21" s="26" t="s">
        <v>59</v>
      </c>
      <c r="C21" s="27">
        <v>12181</v>
      </c>
      <c r="D21" s="28">
        <v>38370</v>
      </c>
      <c r="E21" s="26" t="s">
        <v>64</v>
      </c>
    </row>
    <row r="22" spans="1:10" outlineLevel="1" x14ac:dyDescent="0.35">
      <c r="A22" s="26"/>
      <c r="B22" s="29" t="s">
        <v>61</v>
      </c>
      <c r="C22" s="27"/>
      <c r="D22" s="28"/>
      <c r="E22" s="26">
        <f>SUBTOTAL(3,E21:E21)</f>
        <v>1</v>
      </c>
    </row>
    <row r="23" spans="1:10" outlineLevel="2" x14ac:dyDescent="0.35">
      <c r="A23" s="26" t="s">
        <v>80</v>
      </c>
      <c r="B23" s="26" t="s">
        <v>73</v>
      </c>
      <c r="C23" s="27" t="s">
        <v>74</v>
      </c>
      <c r="D23" s="28">
        <v>42150</v>
      </c>
      <c r="E23" s="26" t="s">
        <v>60</v>
      </c>
    </row>
    <row r="24" spans="1:10" outlineLevel="2" x14ac:dyDescent="0.35">
      <c r="A24" s="26" t="s">
        <v>81</v>
      </c>
      <c r="B24" s="26" t="s">
        <v>73</v>
      </c>
      <c r="C24" s="27" t="s">
        <v>74</v>
      </c>
      <c r="D24" s="28">
        <v>37952</v>
      </c>
      <c r="E24" s="26" t="s">
        <v>69</v>
      </c>
    </row>
    <row r="25" spans="1:10" outlineLevel="1" x14ac:dyDescent="0.35">
      <c r="A25" s="26"/>
      <c r="B25" s="29" t="s">
        <v>75</v>
      </c>
      <c r="C25" s="27"/>
      <c r="D25" s="28"/>
      <c r="E25" s="26">
        <f>SUBTOTAL(3,E23:E24)</f>
        <v>2</v>
      </c>
    </row>
    <row r="26" spans="1:10" outlineLevel="2" x14ac:dyDescent="0.35">
      <c r="A26" s="26" t="s">
        <v>82</v>
      </c>
      <c r="B26" s="26" t="s">
        <v>59</v>
      </c>
      <c r="C26" s="27">
        <v>12181</v>
      </c>
      <c r="D26" s="28">
        <v>37953</v>
      </c>
      <c r="E26" s="26" t="s">
        <v>69</v>
      </c>
    </row>
    <row r="27" spans="1:10" outlineLevel="2" x14ac:dyDescent="0.35">
      <c r="A27" s="26" t="s">
        <v>83</v>
      </c>
      <c r="B27" s="26" t="s">
        <v>59</v>
      </c>
      <c r="C27" s="27">
        <v>12181</v>
      </c>
      <c r="D27" s="28">
        <v>39088</v>
      </c>
      <c r="E27" s="26" t="s">
        <v>64</v>
      </c>
      <c r="J27" s="30"/>
    </row>
    <row r="28" spans="1:10" outlineLevel="1" x14ac:dyDescent="0.35">
      <c r="A28" s="26"/>
      <c r="B28" s="29" t="s">
        <v>61</v>
      </c>
      <c r="C28" s="27"/>
      <c r="D28" s="28"/>
      <c r="E28" s="26">
        <f>SUBTOTAL(3,E26:E27)</f>
        <v>2</v>
      </c>
      <c r="J28" s="30"/>
    </row>
    <row r="29" spans="1:10" outlineLevel="2" x14ac:dyDescent="0.35">
      <c r="A29" s="26" t="s">
        <v>84</v>
      </c>
      <c r="B29" s="26" t="s">
        <v>63</v>
      </c>
      <c r="C29" s="27">
        <v>95407</v>
      </c>
      <c r="D29" s="28">
        <v>39605</v>
      </c>
      <c r="E29" s="26" t="s">
        <v>69</v>
      </c>
      <c r="J29" s="30"/>
    </row>
    <row r="30" spans="1:10" outlineLevel="1" x14ac:dyDescent="0.35">
      <c r="A30" s="26"/>
      <c r="B30" s="29" t="s">
        <v>65</v>
      </c>
      <c r="C30" s="27"/>
      <c r="D30" s="28"/>
      <c r="E30" s="26">
        <f>SUBTOTAL(3,E29:E29)</f>
        <v>1</v>
      </c>
      <c r="J30" s="30"/>
    </row>
    <row r="31" spans="1:10" outlineLevel="2" x14ac:dyDescent="0.35">
      <c r="A31" s="26" t="s">
        <v>85</v>
      </c>
      <c r="B31" s="26" t="s">
        <v>59</v>
      </c>
      <c r="C31" s="27">
        <v>12181</v>
      </c>
      <c r="D31" s="28">
        <v>33613</v>
      </c>
      <c r="E31" s="26" t="s">
        <v>60</v>
      </c>
    </row>
    <row r="32" spans="1:10" outlineLevel="1" x14ac:dyDescent="0.35">
      <c r="A32" s="26"/>
      <c r="B32" s="29" t="s">
        <v>61</v>
      </c>
      <c r="C32" s="27"/>
      <c r="D32" s="28"/>
      <c r="E32" s="26">
        <f>SUBTOTAL(3,E31:E31)</f>
        <v>1</v>
      </c>
    </row>
    <row r="33" spans="1:5" outlineLevel="2" x14ac:dyDescent="0.35">
      <c r="A33" s="26" t="s">
        <v>86</v>
      </c>
      <c r="B33" s="26" t="s">
        <v>67</v>
      </c>
      <c r="C33" s="27" t="s">
        <v>68</v>
      </c>
      <c r="D33" s="28">
        <v>38966</v>
      </c>
      <c r="E33" s="26" t="s">
        <v>64</v>
      </c>
    </row>
    <row r="34" spans="1:5" outlineLevel="1" x14ac:dyDescent="0.35">
      <c r="A34" s="26"/>
      <c r="B34" s="29" t="s">
        <v>71</v>
      </c>
      <c r="C34" s="27"/>
      <c r="D34" s="28"/>
      <c r="E34" s="26">
        <f>SUBTOTAL(3,E33:E33)</f>
        <v>1</v>
      </c>
    </row>
    <row r="35" spans="1:5" outlineLevel="2" x14ac:dyDescent="0.35">
      <c r="A35" s="26" t="s">
        <v>87</v>
      </c>
      <c r="B35" s="26" t="s">
        <v>59</v>
      </c>
      <c r="C35" s="27">
        <v>12181</v>
      </c>
      <c r="D35" s="28">
        <v>39628</v>
      </c>
      <c r="E35" s="26" t="s">
        <v>69</v>
      </c>
    </row>
    <row r="36" spans="1:5" outlineLevel="1" x14ac:dyDescent="0.35">
      <c r="A36" s="26"/>
      <c r="B36" s="29" t="s">
        <v>61</v>
      </c>
      <c r="C36" s="27"/>
      <c r="D36" s="28"/>
      <c r="E36" s="26">
        <f>SUBTOTAL(3,E35:E35)</f>
        <v>1</v>
      </c>
    </row>
    <row r="37" spans="1:5" outlineLevel="2" x14ac:dyDescent="0.35">
      <c r="A37" s="26" t="s">
        <v>88</v>
      </c>
      <c r="B37" s="26" t="s">
        <v>73</v>
      </c>
      <c r="C37" s="27" t="s">
        <v>74</v>
      </c>
      <c r="D37" s="28">
        <v>23109</v>
      </c>
      <c r="E37" s="26" t="s">
        <v>89</v>
      </c>
    </row>
    <row r="38" spans="1:5" outlineLevel="1" x14ac:dyDescent="0.35">
      <c r="A38" s="26"/>
      <c r="B38" s="29" t="s">
        <v>75</v>
      </c>
      <c r="C38" s="27"/>
      <c r="D38" s="28"/>
      <c r="E38" s="26">
        <f>SUBTOTAL(3,E37:E37)</f>
        <v>1</v>
      </c>
    </row>
    <row r="39" spans="1:5" outlineLevel="2" x14ac:dyDescent="0.35">
      <c r="A39" s="26" t="s">
        <v>90</v>
      </c>
      <c r="B39" s="26" t="s">
        <v>67</v>
      </c>
      <c r="C39" s="27" t="s">
        <v>68</v>
      </c>
      <c r="D39" s="28">
        <v>43717</v>
      </c>
      <c r="E39" s="26" t="s">
        <v>60</v>
      </c>
    </row>
    <row r="40" spans="1:5" outlineLevel="1" x14ac:dyDescent="0.35">
      <c r="A40" s="26"/>
      <c r="B40" s="29" t="s">
        <v>71</v>
      </c>
      <c r="C40" s="27"/>
      <c r="D40" s="28"/>
      <c r="E40" s="26">
        <f>SUBTOTAL(3,E39:E39)</f>
        <v>1</v>
      </c>
    </row>
    <row r="41" spans="1:5" outlineLevel="2" x14ac:dyDescent="0.35">
      <c r="A41" s="26" t="s">
        <v>91</v>
      </c>
      <c r="B41" s="26" t="s">
        <v>73</v>
      </c>
      <c r="C41" s="27" t="s">
        <v>74</v>
      </c>
      <c r="D41" s="28">
        <v>43834</v>
      </c>
      <c r="E41" s="26" t="s">
        <v>69</v>
      </c>
    </row>
    <row r="42" spans="1:5" outlineLevel="1" x14ac:dyDescent="0.35">
      <c r="A42" s="26"/>
      <c r="B42" s="29" t="s">
        <v>75</v>
      </c>
      <c r="C42" s="27"/>
      <c r="D42" s="28"/>
      <c r="E42" s="26">
        <f>SUBTOTAL(3,E41:E41)</f>
        <v>1</v>
      </c>
    </row>
    <row r="43" spans="1:5" outlineLevel="2" x14ac:dyDescent="0.35">
      <c r="A43" s="26" t="s">
        <v>92</v>
      </c>
      <c r="B43" s="26" t="s">
        <v>67</v>
      </c>
      <c r="C43" s="27" t="s">
        <v>68</v>
      </c>
      <c r="D43" s="28">
        <v>43835</v>
      </c>
      <c r="E43" s="26" t="s">
        <v>64</v>
      </c>
    </row>
    <row r="44" spans="1:5" outlineLevel="2" x14ac:dyDescent="0.35">
      <c r="A44" s="26" t="s">
        <v>93</v>
      </c>
      <c r="B44" s="26" t="s">
        <v>67</v>
      </c>
      <c r="C44" s="27" t="s">
        <v>68</v>
      </c>
      <c r="D44" s="28">
        <v>39446</v>
      </c>
      <c r="E44" s="26" t="s">
        <v>60</v>
      </c>
    </row>
    <row r="45" spans="1:5" outlineLevel="1" x14ac:dyDescent="0.35">
      <c r="A45" s="26"/>
      <c r="B45" s="29" t="s">
        <v>71</v>
      </c>
      <c r="C45" s="27"/>
      <c r="D45" s="28"/>
      <c r="E45" s="26">
        <f>SUBTOTAL(3,E43:E44)</f>
        <v>2</v>
      </c>
    </row>
    <row r="46" spans="1:5" outlineLevel="2" x14ac:dyDescent="0.35">
      <c r="A46" s="26" t="s">
        <v>94</v>
      </c>
      <c r="B46" s="26" t="s">
        <v>73</v>
      </c>
      <c r="C46" s="27" t="s">
        <v>74</v>
      </c>
      <c r="D46" s="28">
        <v>42555</v>
      </c>
      <c r="E46" s="26" t="s">
        <v>64</v>
      </c>
    </row>
    <row r="47" spans="1:5" outlineLevel="2" x14ac:dyDescent="0.35">
      <c r="A47" s="26" t="s">
        <v>95</v>
      </c>
      <c r="B47" s="26" t="s">
        <v>73</v>
      </c>
      <c r="C47" s="27" t="s">
        <v>74</v>
      </c>
      <c r="D47" s="28">
        <v>42556</v>
      </c>
      <c r="E47" s="26" t="s">
        <v>60</v>
      </c>
    </row>
    <row r="48" spans="1:5" outlineLevel="1" x14ac:dyDescent="0.35">
      <c r="A48" s="30"/>
      <c r="B48" s="31" t="s">
        <v>75</v>
      </c>
      <c r="C48" s="32"/>
      <c r="D48" s="33"/>
      <c r="E48" s="30">
        <f>SUBTOTAL(3,E46:E47)</f>
        <v>2</v>
      </c>
    </row>
    <row r="49" spans="1:5" x14ac:dyDescent="0.35">
      <c r="A49" s="30"/>
      <c r="B49" s="31" t="s">
        <v>96</v>
      </c>
      <c r="C49" s="32"/>
      <c r="D49" s="33"/>
      <c r="E49" s="30">
        <f>SUBTOTAL(3,E6:E47)</f>
        <v>24</v>
      </c>
    </row>
    <row r="50" spans="1:5" x14ac:dyDescent="0.35">
      <c r="A50" s="30"/>
      <c r="B50" s="30"/>
      <c r="C50" s="30"/>
      <c r="D50" s="30"/>
      <c r="E50" s="30"/>
    </row>
    <row r="51" spans="1:5" x14ac:dyDescent="0.35">
      <c r="A51" s="30"/>
      <c r="B51" s="30"/>
      <c r="C51" s="30"/>
      <c r="D51" s="30"/>
      <c r="E51" s="30"/>
    </row>
    <row r="52" spans="1:5" x14ac:dyDescent="0.35">
      <c r="A52" s="30"/>
      <c r="B52" s="30"/>
      <c r="C52" s="30"/>
      <c r="D52" s="30"/>
      <c r="E52" s="30"/>
    </row>
    <row r="53" spans="1:5" x14ac:dyDescent="0.35">
      <c r="A53" s="30"/>
      <c r="B53" s="30"/>
      <c r="C53" s="30"/>
      <c r="D53" s="30"/>
      <c r="E53" s="30"/>
    </row>
    <row r="54" spans="1:5" x14ac:dyDescent="0.35">
      <c r="A54" s="30"/>
      <c r="B54" s="30"/>
      <c r="C54" s="30"/>
      <c r="D54" s="30"/>
      <c r="E54" s="30"/>
    </row>
    <row r="55" spans="1:5" x14ac:dyDescent="0.35">
      <c r="A55" s="30"/>
      <c r="B55" s="30"/>
      <c r="C55" s="30"/>
      <c r="D55" s="30"/>
      <c r="E55" s="30"/>
    </row>
    <row r="56" spans="1:5" x14ac:dyDescent="0.35">
      <c r="A56" s="30"/>
      <c r="B56" s="30"/>
      <c r="C56" s="30"/>
      <c r="D56" s="30"/>
      <c r="E56" s="30"/>
    </row>
    <row r="57" spans="1:5" x14ac:dyDescent="0.35">
      <c r="A57" s="30"/>
      <c r="B57" s="30"/>
      <c r="C57" s="30"/>
      <c r="D57" s="30"/>
      <c r="E57" s="30"/>
    </row>
    <row r="58" spans="1:5" x14ac:dyDescent="0.35">
      <c r="A58" s="30"/>
      <c r="B58" s="30"/>
      <c r="C58" s="30"/>
      <c r="D58" s="30"/>
      <c r="E58" s="30"/>
    </row>
    <row r="59" spans="1:5" x14ac:dyDescent="0.35">
      <c r="A59" s="30"/>
      <c r="B59" s="30"/>
      <c r="C59" s="30"/>
      <c r="D59" s="30"/>
      <c r="E59" s="30"/>
    </row>
    <row r="60" spans="1:5" x14ac:dyDescent="0.35">
      <c r="A60" s="30"/>
      <c r="B60" s="30"/>
      <c r="C60" s="30"/>
      <c r="D60" s="30"/>
      <c r="E60" s="30"/>
    </row>
    <row r="61" spans="1:5" x14ac:dyDescent="0.35">
      <c r="A61" s="30"/>
      <c r="B61" s="30"/>
      <c r="C61" s="30"/>
      <c r="D61" s="30"/>
      <c r="E61" s="30"/>
    </row>
    <row r="62" spans="1:5" x14ac:dyDescent="0.35">
      <c r="A62" s="30"/>
      <c r="B62" s="30"/>
      <c r="C62" s="30"/>
      <c r="D62" s="30"/>
      <c r="E62" s="30"/>
    </row>
    <row r="63" spans="1:5" x14ac:dyDescent="0.35">
      <c r="A63" s="30"/>
      <c r="B63" s="30"/>
      <c r="C63" s="30"/>
      <c r="D63" s="30"/>
      <c r="E63" s="30"/>
    </row>
    <row r="64" spans="1:5" x14ac:dyDescent="0.35">
      <c r="A64" s="30"/>
      <c r="B64" s="30"/>
      <c r="C64" s="30"/>
      <c r="D64" s="30"/>
      <c r="E64" s="30"/>
    </row>
    <row r="65" spans="1:5" x14ac:dyDescent="0.35">
      <c r="A65" s="30"/>
      <c r="B65" s="30"/>
      <c r="C65" s="30"/>
      <c r="D65" s="30"/>
      <c r="E65" s="30"/>
    </row>
    <row r="66" spans="1:5" x14ac:dyDescent="0.35">
      <c r="A66" s="30"/>
      <c r="B66" s="30"/>
      <c r="C66" s="30"/>
      <c r="D66" s="30"/>
      <c r="E66" s="30"/>
    </row>
    <row r="67" spans="1:5" x14ac:dyDescent="0.35">
      <c r="A67" s="30"/>
      <c r="B67" s="30"/>
      <c r="C67" s="30"/>
      <c r="D67" s="30"/>
      <c r="E67" s="30"/>
    </row>
    <row r="68" spans="1:5" x14ac:dyDescent="0.35">
      <c r="A68" s="30"/>
      <c r="B68" s="30"/>
      <c r="C68" s="30"/>
      <c r="D68" s="30"/>
      <c r="E68" s="30"/>
    </row>
    <row r="69" spans="1:5" x14ac:dyDescent="0.35">
      <c r="A69" s="30"/>
      <c r="B69" s="30"/>
      <c r="C69" s="30"/>
      <c r="D69" s="30"/>
      <c r="E69" s="30"/>
    </row>
    <row r="70" spans="1:5" x14ac:dyDescent="0.35">
      <c r="A70" s="30"/>
      <c r="B70" s="30"/>
      <c r="C70" s="30"/>
      <c r="D70" s="30"/>
      <c r="E70" s="30"/>
    </row>
    <row r="71" spans="1:5" x14ac:dyDescent="0.35">
      <c r="A71" s="30"/>
      <c r="B71" s="30"/>
      <c r="C71" s="30"/>
      <c r="D71" s="30"/>
      <c r="E71" s="30"/>
    </row>
    <row r="72" spans="1:5" x14ac:dyDescent="0.35">
      <c r="A72" s="30"/>
      <c r="B72" s="30"/>
      <c r="C72" s="30"/>
      <c r="D72" s="30"/>
      <c r="E72" s="30"/>
    </row>
    <row r="73" spans="1:5" x14ac:dyDescent="0.35">
      <c r="A73" s="30"/>
      <c r="B73" s="30"/>
      <c r="C73" s="30"/>
      <c r="D73" s="30"/>
      <c r="E73" s="30"/>
    </row>
    <row r="74" spans="1:5" x14ac:dyDescent="0.35">
      <c r="A74" s="30"/>
      <c r="B74" s="30"/>
      <c r="C74" s="30"/>
      <c r="D74" s="30"/>
      <c r="E74" s="30"/>
    </row>
    <row r="75" spans="1:5" x14ac:dyDescent="0.35">
      <c r="A75" s="30"/>
      <c r="B75" s="30"/>
      <c r="C75" s="30"/>
      <c r="D75" s="30"/>
      <c r="E75" s="30"/>
    </row>
    <row r="76" spans="1:5" x14ac:dyDescent="0.35">
      <c r="A76" s="30"/>
      <c r="B76" s="30"/>
      <c r="C76" s="30"/>
      <c r="D76" s="30"/>
      <c r="E76" s="30"/>
    </row>
    <row r="77" spans="1:5" x14ac:dyDescent="0.35">
      <c r="A77" s="30"/>
      <c r="B77" s="30"/>
      <c r="C77" s="30"/>
      <c r="D77" s="30"/>
      <c r="E77" s="30"/>
    </row>
    <row r="78" spans="1:5" x14ac:dyDescent="0.35">
      <c r="A78" s="30"/>
      <c r="B78" s="30"/>
      <c r="C78" s="30"/>
      <c r="D78" s="30"/>
      <c r="E78" s="30"/>
    </row>
    <row r="79" spans="1:5" x14ac:dyDescent="0.35">
      <c r="A79" s="30"/>
      <c r="B79" s="30"/>
      <c r="C79" s="30"/>
      <c r="D79" s="30"/>
      <c r="E79" s="30"/>
    </row>
    <row r="80" spans="1:5" x14ac:dyDescent="0.35">
      <c r="A80" s="30"/>
      <c r="B80" s="30"/>
      <c r="C80" s="30"/>
      <c r="D80" s="30"/>
      <c r="E80" s="30"/>
    </row>
    <row r="81" spans="1:5" x14ac:dyDescent="0.35">
      <c r="A81" s="30"/>
      <c r="B81" s="30"/>
      <c r="C81" s="30"/>
      <c r="D81" s="30"/>
      <c r="E81" s="30"/>
    </row>
    <row r="82" spans="1:5" x14ac:dyDescent="0.35">
      <c r="A82" s="30"/>
      <c r="B82" s="30"/>
      <c r="C82" s="30"/>
      <c r="D82" s="30"/>
      <c r="E82" s="30"/>
    </row>
    <row r="83" spans="1:5" x14ac:dyDescent="0.35">
      <c r="A83" s="30"/>
      <c r="B83" s="30"/>
      <c r="C83" s="30"/>
      <c r="D83" s="30"/>
      <c r="E83" s="30"/>
    </row>
    <row r="84" spans="1:5" x14ac:dyDescent="0.35">
      <c r="A84" s="30"/>
      <c r="B84" s="30"/>
      <c r="C84" s="30"/>
      <c r="D84" s="30"/>
      <c r="E84" s="30"/>
    </row>
    <row r="85" spans="1:5" x14ac:dyDescent="0.35">
      <c r="A85" s="30"/>
      <c r="B85" s="30"/>
      <c r="C85" s="30"/>
      <c r="D85" s="30"/>
      <c r="E85" s="30"/>
    </row>
    <row r="86" spans="1:5" x14ac:dyDescent="0.35">
      <c r="A86" s="30"/>
      <c r="B86" s="30"/>
      <c r="C86" s="30"/>
      <c r="D86" s="30"/>
      <c r="E86" s="30"/>
    </row>
    <row r="87" spans="1:5" x14ac:dyDescent="0.35">
      <c r="A87" s="30"/>
      <c r="B87" s="30"/>
      <c r="C87" s="30"/>
      <c r="D87" s="30"/>
      <c r="E87" s="30"/>
    </row>
    <row r="88" spans="1:5" x14ac:dyDescent="0.35">
      <c r="A88" s="30"/>
      <c r="B88" s="30"/>
      <c r="C88" s="30"/>
      <c r="D88" s="30"/>
      <c r="E88" s="30"/>
    </row>
    <row r="89" spans="1:5" x14ac:dyDescent="0.35">
      <c r="A89" s="30"/>
      <c r="B89" s="30"/>
      <c r="C89" s="30"/>
      <c r="D89" s="30"/>
      <c r="E89" s="30"/>
    </row>
    <row r="90" spans="1:5" x14ac:dyDescent="0.35">
      <c r="A90" s="30"/>
      <c r="B90" s="30"/>
      <c r="C90" s="30"/>
      <c r="D90" s="30"/>
      <c r="E90" s="30"/>
    </row>
    <row r="91" spans="1:5" x14ac:dyDescent="0.35">
      <c r="A91" s="30"/>
      <c r="B91" s="30"/>
      <c r="C91" s="30"/>
      <c r="D91" s="30"/>
      <c r="E91" s="30"/>
    </row>
    <row r="92" spans="1:5" x14ac:dyDescent="0.35">
      <c r="A92" s="30"/>
      <c r="B92" s="30"/>
      <c r="C92" s="30"/>
      <c r="D92" s="30"/>
      <c r="E92" s="30"/>
    </row>
    <row r="93" spans="1:5" x14ac:dyDescent="0.35">
      <c r="A93" s="30"/>
      <c r="B93" s="30"/>
      <c r="C93" s="30"/>
      <c r="D93" s="30"/>
      <c r="E93" s="30"/>
    </row>
    <row r="94" spans="1:5" x14ac:dyDescent="0.35">
      <c r="A94" s="30"/>
      <c r="B94" s="30"/>
      <c r="C94" s="30"/>
      <c r="D94" s="30"/>
      <c r="E94" s="30"/>
    </row>
    <row r="95" spans="1:5" x14ac:dyDescent="0.35">
      <c r="A95" s="30"/>
      <c r="B95" s="30"/>
      <c r="C95" s="30"/>
      <c r="D95" s="30"/>
      <c r="E95" s="30"/>
    </row>
    <row r="96" spans="1:5" x14ac:dyDescent="0.35">
      <c r="A96" s="30"/>
      <c r="B96" s="30"/>
      <c r="C96" s="30"/>
      <c r="D96" s="30"/>
      <c r="E96" s="30"/>
    </row>
    <row r="97" spans="1:5" x14ac:dyDescent="0.35">
      <c r="A97" s="30"/>
      <c r="B97" s="30"/>
      <c r="C97" s="30"/>
      <c r="D97" s="30"/>
      <c r="E97" s="30"/>
    </row>
    <row r="98" spans="1:5" x14ac:dyDescent="0.35">
      <c r="A98" s="30"/>
      <c r="B98" s="30"/>
      <c r="C98" s="30"/>
      <c r="D98" s="30"/>
      <c r="E98" s="30"/>
    </row>
    <row r="99" spans="1:5" x14ac:dyDescent="0.35">
      <c r="A99" s="30"/>
      <c r="B99" s="30"/>
      <c r="C99" s="30"/>
      <c r="D99" s="30"/>
      <c r="E99" s="30"/>
    </row>
    <row r="100" spans="1:5" x14ac:dyDescent="0.35">
      <c r="A100" s="30"/>
      <c r="B100" s="30"/>
      <c r="C100" s="30"/>
      <c r="D100" s="30"/>
      <c r="E100" s="30"/>
    </row>
    <row r="101" spans="1:5" x14ac:dyDescent="0.35">
      <c r="A101" s="30"/>
      <c r="B101" s="30"/>
      <c r="C101" s="30"/>
      <c r="D101" s="30"/>
      <c r="E101" s="30"/>
    </row>
    <row r="102" spans="1:5" x14ac:dyDescent="0.35">
      <c r="A102" s="30"/>
      <c r="B102" s="30"/>
      <c r="C102" s="30"/>
      <c r="D102" s="30"/>
      <c r="E102" s="30"/>
    </row>
    <row r="103" spans="1:5" x14ac:dyDescent="0.35">
      <c r="A103" s="30"/>
      <c r="B103" s="30"/>
      <c r="C103" s="30"/>
      <c r="D103" s="30"/>
      <c r="E103" s="30"/>
    </row>
    <row r="104" spans="1:5" x14ac:dyDescent="0.35">
      <c r="A104" s="30"/>
      <c r="B104" s="30"/>
      <c r="C104" s="30"/>
      <c r="D104" s="30"/>
      <c r="E104" s="30"/>
    </row>
    <row r="105" spans="1:5" x14ac:dyDescent="0.35">
      <c r="A105" s="30"/>
      <c r="B105" s="30"/>
      <c r="C105" s="30"/>
      <c r="D105" s="30"/>
      <c r="E105" s="30"/>
    </row>
    <row r="106" spans="1:5" x14ac:dyDescent="0.35">
      <c r="A106" s="30"/>
      <c r="B106" s="30"/>
      <c r="C106" s="30"/>
      <c r="D106" s="30"/>
      <c r="E106" s="30"/>
    </row>
    <row r="107" spans="1:5" x14ac:dyDescent="0.35">
      <c r="A107" s="30"/>
      <c r="B107" s="30"/>
      <c r="C107" s="30"/>
      <c r="D107" s="30"/>
      <c r="E107" s="30"/>
    </row>
    <row r="108" spans="1:5" x14ac:dyDescent="0.35">
      <c r="A108" s="30"/>
      <c r="B108" s="30"/>
      <c r="C108" s="30"/>
      <c r="D108" s="30"/>
      <c r="E108" s="30"/>
    </row>
    <row r="109" spans="1:5" x14ac:dyDescent="0.35">
      <c r="A109" s="30"/>
      <c r="B109" s="30"/>
      <c r="C109" s="30"/>
      <c r="D109" s="30"/>
      <c r="E109" s="30"/>
    </row>
    <row r="110" spans="1:5" x14ac:dyDescent="0.35">
      <c r="A110" s="30"/>
      <c r="B110" s="30"/>
      <c r="C110" s="30"/>
      <c r="D110" s="30"/>
      <c r="E110" s="30"/>
    </row>
    <row r="111" spans="1:5" x14ac:dyDescent="0.35">
      <c r="A111" s="30"/>
      <c r="B111" s="30"/>
      <c r="C111" s="30"/>
      <c r="D111" s="30"/>
      <c r="E111" s="30"/>
    </row>
    <row r="112" spans="1:5" x14ac:dyDescent="0.35">
      <c r="A112" s="30"/>
      <c r="B112" s="30"/>
      <c r="C112" s="30"/>
      <c r="D112" s="30"/>
      <c r="E112" s="30"/>
    </row>
    <row r="113" spans="1:5" x14ac:dyDescent="0.35">
      <c r="A113" s="30"/>
      <c r="B113" s="30"/>
      <c r="C113" s="30"/>
      <c r="D113" s="30"/>
      <c r="E113" s="30"/>
    </row>
    <row r="114" spans="1:5" x14ac:dyDescent="0.35">
      <c r="A114" s="30"/>
      <c r="B114" s="30"/>
      <c r="C114" s="30"/>
      <c r="D114" s="30"/>
      <c r="E114" s="30"/>
    </row>
    <row r="115" spans="1:5" x14ac:dyDescent="0.35">
      <c r="A115" s="30"/>
      <c r="B115" s="30"/>
      <c r="C115" s="30"/>
      <c r="D115" s="30"/>
      <c r="E115" s="30"/>
    </row>
    <row r="116" spans="1:5" x14ac:dyDescent="0.35">
      <c r="A116" s="30"/>
      <c r="B116" s="30"/>
      <c r="C116" s="30"/>
      <c r="D116" s="30"/>
      <c r="E116" s="30"/>
    </row>
    <row r="117" spans="1:5" x14ac:dyDescent="0.35">
      <c r="A117" s="30"/>
      <c r="B117" s="30"/>
      <c r="C117" s="30"/>
      <c r="D117" s="30"/>
      <c r="E117" s="30"/>
    </row>
  </sheetData>
  <mergeCells count="1">
    <mergeCell ref="A2:E2"/>
  </mergeCell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23948-9F4B-4C86-A665-1F79D58D4892}">
  <sheetPr filterMode="1"/>
  <dimension ref="A2:J97"/>
  <sheetViews>
    <sheetView workbookViewId="0">
      <selection activeCell="G7" sqref="G7"/>
    </sheetView>
  </sheetViews>
  <sheetFormatPr baseColWidth="10" defaultColWidth="11.453125" defaultRowHeight="15.5" outlineLevelCol="1" x14ac:dyDescent="0.35"/>
  <cols>
    <col min="1" max="1" width="11.453125" style="3"/>
    <col min="2" max="3" width="11.453125" style="3" outlineLevel="1"/>
    <col min="4" max="4" width="11.6328125" style="3" bestFit="1" customWidth="1"/>
    <col min="5" max="5" width="11.08984375" style="3" bestFit="1" customWidth="1"/>
    <col min="6" max="16384" width="11.453125" style="3"/>
  </cols>
  <sheetData>
    <row r="2" spans="1:7" ht="27.5" x14ac:dyDescent="0.55000000000000004">
      <c r="A2" s="44" t="s">
        <v>97</v>
      </c>
      <c r="B2" s="44"/>
      <c r="C2" s="44"/>
      <c r="D2" s="44"/>
      <c r="E2" s="44"/>
    </row>
    <row r="4" spans="1:7" x14ac:dyDescent="0.35">
      <c r="G4" s="3" t="s">
        <v>115</v>
      </c>
    </row>
    <row r="5" spans="1:7" x14ac:dyDescent="0.35">
      <c r="A5" s="25" t="s">
        <v>53</v>
      </c>
      <c r="B5" s="25" t="s">
        <v>44</v>
      </c>
      <c r="C5" s="25" t="s">
        <v>54</v>
      </c>
      <c r="D5" s="25" t="s">
        <v>55</v>
      </c>
      <c r="E5" s="25" t="s">
        <v>56</v>
      </c>
      <c r="G5" s="3" t="s">
        <v>116</v>
      </c>
    </row>
    <row r="6" spans="1:7" x14ac:dyDescent="0.35">
      <c r="A6" s="26" t="s">
        <v>66</v>
      </c>
      <c r="B6" s="26" t="s">
        <v>67</v>
      </c>
      <c r="C6" s="27" t="s">
        <v>68</v>
      </c>
      <c r="D6" s="28">
        <v>31119</v>
      </c>
      <c r="E6" s="26" t="s">
        <v>69</v>
      </c>
    </row>
    <row r="7" spans="1:7" ht="20" x14ac:dyDescent="0.4">
      <c r="A7" s="26" t="s">
        <v>70</v>
      </c>
      <c r="B7" s="26" t="s">
        <v>67</v>
      </c>
      <c r="C7" s="27" t="s">
        <v>68</v>
      </c>
      <c r="D7" s="28">
        <v>37626</v>
      </c>
      <c r="E7" s="26" t="s">
        <v>60</v>
      </c>
      <c r="G7" s="36" t="s">
        <v>114</v>
      </c>
    </row>
    <row r="8" spans="1:7" x14ac:dyDescent="0.35">
      <c r="A8" s="26" t="s">
        <v>86</v>
      </c>
      <c r="B8" s="26" t="s">
        <v>67</v>
      </c>
      <c r="C8" s="27" t="s">
        <v>68</v>
      </c>
      <c r="D8" s="28">
        <v>38966</v>
      </c>
      <c r="E8" s="26" t="s">
        <v>64</v>
      </c>
    </row>
    <row r="9" spans="1:7" x14ac:dyDescent="0.35">
      <c r="A9" s="26" t="s">
        <v>90</v>
      </c>
      <c r="B9" s="26" t="s">
        <v>67</v>
      </c>
      <c r="C9" s="27" t="s">
        <v>68</v>
      </c>
      <c r="D9" s="28">
        <v>43717</v>
      </c>
      <c r="E9" s="26" t="s">
        <v>60</v>
      </c>
    </row>
    <row r="10" spans="1:7" x14ac:dyDescent="0.35">
      <c r="A10" s="26" t="s">
        <v>92</v>
      </c>
      <c r="B10" s="26" t="s">
        <v>67</v>
      </c>
      <c r="C10" s="27" t="s">
        <v>68</v>
      </c>
      <c r="D10" s="28">
        <v>43835</v>
      </c>
      <c r="E10" s="26" t="s">
        <v>64</v>
      </c>
    </row>
    <row r="11" spans="1:7" x14ac:dyDescent="0.35">
      <c r="A11" s="26" t="s">
        <v>93</v>
      </c>
      <c r="B11" s="26" t="s">
        <v>67</v>
      </c>
      <c r="C11" s="27" t="s">
        <v>68</v>
      </c>
      <c r="D11" s="28">
        <v>39446</v>
      </c>
      <c r="E11" s="26" t="s">
        <v>60</v>
      </c>
    </row>
    <row r="12" spans="1:7" x14ac:dyDescent="0.35">
      <c r="A12" s="26" t="s">
        <v>62</v>
      </c>
      <c r="B12" s="26" t="s">
        <v>63</v>
      </c>
      <c r="C12" s="27">
        <v>95407</v>
      </c>
      <c r="D12" s="28">
        <v>37756</v>
      </c>
      <c r="E12" s="26" t="s">
        <v>64</v>
      </c>
    </row>
    <row r="13" spans="1:7" x14ac:dyDescent="0.35">
      <c r="A13" s="26" t="s">
        <v>76</v>
      </c>
      <c r="B13" s="26" t="s">
        <v>63</v>
      </c>
      <c r="C13" s="27">
        <v>95407</v>
      </c>
      <c r="D13" s="28">
        <v>14</v>
      </c>
      <c r="E13" s="26" t="s">
        <v>60</v>
      </c>
    </row>
    <row r="14" spans="1:7" x14ac:dyDescent="0.35">
      <c r="A14" s="26" t="s">
        <v>78</v>
      </c>
      <c r="B14" s="26" t="s">
        <v>63</v>
      </c>
      <c r="C14" s="27">
        <v>95407</v>
      </c>
      <c r="D14" s="28">
        <v>39102</v>
      </c>
      <c r="E14" s="26" t="s">
        <v>60</v>
      </c>
    </row>
    <row r="15" spans="1:7" x14ac:dyDescent="0.35">
      <c r="A15" s="26" t="s">
        <v>84</v>
      </c>
      <c r="B15" s="26" t="s">
        <v>63</v>
      </c>
      <c r="C15" s="27">
        <v>95407</v>
      </c>
      <c r="D15" s="28">
        <v>39605</v>
      </c>
      <c r="E15" s="26" t="s">
        <v>69</v>
      </c>
    </row>
    <row r="16" spans="1:7" hidden="1" x14ac:dyDescent="0.35">
      <c r="A16" s="26" t="s">
        <v>58</v>
      </c>
      <c r="B16" s="26" t="s">
        <v>59</v>
      </c>
      <c r="C16" s="27">
        <v>12181</v>
      </c>
      <c r="D16" s="28">
        <v>44123</v>
      </c>
      <c r="E16" s="26" t="s">
        <v>60</v>
      </c>
    </row>
    <row r="17" spans="1:10" hidden="1" x14ac:dyDescent="0.35">
      <c r="A17" s="26" t="s">
        <v>79</v>
      </c>
      <c r="B17" s="26" t="s">
        <v>59</v>
      </c>
      <c r="C17" s="27">
        <v>12181</v>
      </c>
      <c r="D17" s="28">
        <v>38370</v>
      </c>
      <c r="E17" s="26" t="s">
        <v>64</v>
      </c>
    </row>
    <row r="18" spans="1:10" hidden="1" x14ac:dyDescent="0.35">
      <c r="A18" s="26" t="s">
        <v>82</v>
      </c>
      <c r="B18" s="26" t="s">
        <v>59</v>
      </c>
      <c r="C18" s="27">
        <v>12181</v>
      </c>
      <c r="D18" s="28">
        <v>37953</v>
      </c>
      <c r="E18" s="26" t="s">
        <v>69</v>
      </c>
      <c r="J18" s="30"/>
    </row>
    <row r="19" spans="1:10" hidden="1" x14ac:dyDescent="0.35">
      <c r="A19" s="26" t="s">
        <v>83</v>
      </c>
      <c r="B19" s="26" t="s">
        <v>59</v>
      </c>
      <c r="C19" s="27">
        <v>12181</v>
      </c>
      <c r="D19" s="28">
        <v>39088</v>
      </c>
      <c r="E19" s="26" t="s">
        <v>64</v>
      </c>
      <c r="J19" s="30"/>
    </row>
    <row r="20" spans="1:10" hidden="1" x14ac:dyDescent="0.35">
      <c r="A20" s="26" t="s">
        <v>85</v>
      </c>
      <c r="B20" s="26" t="s">
        <v>59</v>
      </c>
      <c r="C20" s="27">
        <v>12181</v>
      </c>
      <c r="D20" s="28">
        <v>33613</v>
      </c>
      <c r="E20" s="26" t="s">
        <v>60</v>
      </c>
    </row>
    <row r="21" spans="1:10" hidden="1" x14ac:dyDescent="0.35">
      <c r="A21" s="26" t="s">
        <v>87</v>
      </c>
      <c r="B21" s="26" t="s">
        <v>59</v>
      </c>
      <c r="C21" s="27">
        <v>12181</v>
      </c>
      <c r="D21" s="28">
        <v>39628</v>
      </c>
      <c r="E21" s="26" t="s">
        <v>69</v>
      </c>
    </row>
    <row r="22" spans="1:10" hidden="1" x14ac:dyDescent="0.35">
      <c r="A22" s="26" t="s">
        <v>72</v>
      </c>
      <c r="B22" s="26" t="s">
        <v>73</v>
      </c>
      <c r="C22" s="27" t="s">
        <v>74</v>
      </c>
      <c r="D22" s="28">
        <v>42372</v>
      </c>
      <c r="E22" s="26" t="s">
        <v>64</v>
      </c>
    </row>
    <row r="23" spans="1:10" hidden="1" x14ac:dyDescent="0.35">
      <c r="A23" s="26" t="s">
        <v>77</v>
      </c>
      <c r="B23" s="26" t="s">
        <v>73</v>
      </c>
      <c r="C23" s="27" t="s">
        <v>74</v>
      </c>
      <c r="D23" s="28">
        <v>31058</v>
      </c>
      <c r="E23" s="26" t="s">
        <v>69</v>
      </c>
    </row>
    <row r="24" spans="1:10" hidden="1" x14ac:dyDescent="0.35">
      <c r="A24" s="26" t="s">
        <v>80</v>
      </c>
      <c r="B24" s="26" t="s">
        <v>73</v>
      </c>
      <c r="C24" s="27" t="s">
        <v>74</v>
      </c>
      <c r="D24" s="28">
        <v>42150</v>
      </c>
      <c r="E24" s="26" t="s">
        <v>60</v>
      </c>
    </row>
    <row r="25" spans="1:10" hidden="1" x14ac:dyDescent="0.35">
      <c r="A25" s="26" t="s">
        <v>81</v>
      </c>
      <c r="B25" s="26" t="s">
        <v>73</v>
      </c>
      <c r="C25" s="27" t="s">
        <v>74</v>
      </c>
      <c r="D25" s="28">
        <v>37952</v>
      </c>
      <c r="E25" s="26" t="s">
        <v>69</v>
      </c>
    </row>
    <row r="26" spans="1:10" hidden="1" x14ac:dyDescent="0.35">
      <c r="A26" s="26" t="s">
        <v>88</v>
      </c>
      <c r="B26" s="26" t="s">
        <v>73</v>
      </c>
      <c r="C26" s="27" t="s">
        <v>74</v>
      </c>
      <c r="D26" s="28">
        <v>23109</v>
      </c>
      <c r="E26" s="26" t="s">
        <v>89</v>
      </c>
    </row>
    <row r="27" spans="1:10" hidden="1" x14ac:dyDescent="0.35">
      <c r="A27" s="26" t="s">
        <v>91</v>
      </c>
      <c r="B27" s="26" t="s">
        <v>73</v>
      </c>
      <c r="C27" s="27" t="s">
        <v>74</v>
      </c>
      <c r="D27" s="28">
        <v>43834</v>
      </c>
      <c r="E27" s="26" t="s">
        <v>69</v>
      </c>
    </row>
    <row r="28" spans="1:10" hidden="1" x14ac:dyDescent="0.35">
      <c r="A28" s="26" t="s">
        <v>94</v>
      </c>
      <c r="B28" s="26" t="s">
        <v>73</v>
      </c>
      <c r="C28" s="27" t="s">
        <v>74</v>
      </c>
      <c r="D28" s="28">
        <v>42555</v>
      </c>
      <c r="E28" s="26" t="s">
        <v>64</v>
      </c>
    </row>
    <row r="29" spans="1:10" hidden="1" x14ac:dyDescent="0.35">
      <c r="A29" s="26" t="s">
        <v>95</v>
      </c>
      <c r="B29" s="26" t="s">
        <v>73</v>
      </c>
      <c r="C29" s="27" t="s">
        <v>74</v>
      </c>
      <c r="D29" s="28">
        <v>42556</v>
      </c>
      <c r="E29" s="26" t="s">
        <v>60</v>
      </c>
    </row>
    <row r="30" spans="1:10" x14ac:dyDescent="0.35">
      <c r="A30" s="30"/>
      <c r="B30" s="30"/>
      <c r="C30" s="30"/>
      <c r="D30" s="30"/>
      <c r="E30" s="30"/>
    </row>
    <row r="31" spans="1:10" x14ac:dyDescent="0.35">
      <c r="A31" s="30"/>
      <c r="B31" s="30"/>
      <c r="C31" s="30"/>
      <c r="D31" s="30"/>
      <c r="E31" s="30"/>
    </row>
    <row r="32" spans="1:10" x14ac:dyDescent="0.35">
      <c r="A32" s="30"/>
      <c r="B32" s="30"/>
      <c r="C32" s="30"/>
      <c r="D32" s="30"/>
      <c r="E32" s="30"/>
    </row>
    <row r="33" spans="1:5" x14ac:dyDescent="0.35">
      <c r="A33" s="30"/>
      <c r="B33" s="30"/>
      <c r="C33" s="30"/>
      <c r="D33" s="30"/>
      <c r="E33" s="30"/>
    </row>
    <row r="34" spans="1:5" x14ac:dyDescent="0.35">
      <c r="A34" s="30"/>
      <c r="B34" s="30"/>
      <c r="C34" s="30"/>
      <c r="D34" s="30"/>
      <c r="E34" s="30"/>
    </row>
    <row r="35" spans="1:5" x14ac:dyDescent="0.35">
      <c r="A35" s="30"/>
      <c r="B35" s="30"/>
      <c r="C35" s="30"/>
      <c r="D35" s="30"/>
      <c r="E35" s="30"/>
    </row>
    <row r="36" spans="1:5" x14ac:dyDescent="0.35">
      <c r="A36" s="30"/>
      <c r="B36" s="30"/>
      <c r="C36" s="30"/>
      <c r="D36" s="30"/>
      <c r="E36" s="30"/>
    </row>
    <row r="37" spans="1:5" x14ac:dyDescent="0.35">
      <c r="A37" s="30"/>
      <c r="B37" s="30"/>
      <c r="C37" s="30"/>
      <c r="D37" s="30"/>
      <c r="E37" s="30"/>
    </row>
    <row r="38" spans="1:5" x14ac:dyDescent="0.35">
      <c r="A38" s="30"/>
      <c r="B38" s="30"/>
      <c r="C38" s="30"/>
      <c r="D38" s="30"/>
      <c r="E38" s="30"/>
    </row>
    <row r="39" spans="1:5" x14ac:dyDescent="0.35">
      <c r="A39" s="30"/>
      <c r="B39" s="30"/>
      <c r="C39" s="30"/>
      <c r="D39" s="30"/>
      <c r="E39" s="30"/>
    </row>
    <row r="40" spans="1:5" x14ac:dyDescent="0.35">
      <c r="A40" s="30"/>
      <c r="B40" s="30"/>
      <c r="C40" s="30"/>
      <c r="D40" s="30"/>
      <c r="E40" s="30"/>
    </row>
    <row r="41" spans="1:5" x14ac:dyDescent="0.35">
      <c r="A41" s="30"/>
      <c r="B41" s="30"/>
      <c r="C41" s="30"/>
      <c r="D41" s="30"/>
      <c r="E41" s="30"/>
    </row>
    <row r="42" spans="1:5" x14ac:dyDescent="0.35">
      <c r="A42" s="30"/>
      <c r="B42" s="30"/>
      <c r="C42" s="30"/>
      <c r="D42" s="30"/>
      <c r="E42" s="30"/>
    </row>
    <row r="43" spans="1:5" x14ac:dyDescent="0.35">
      <c r="A43" s="30"/>
      <c r="B43" s="30"/>
      <c r="C43" s="30"/>
      <c r="D43" s="30"/>
      <c r="E43" s="30"/>
    </row>
    <row r="44" spans="1:5" x14ac:dyDescent="0.35">
      <c r="A44" s="30"/>
      <c r="B44" s="30"/>
      <c r="C44" s="30"/>
      <c r="D44" s="30"/>
      <c r="E44" s="30"/>
    </row>
    <row r="45" spans="1:5" x14ac:dyDescent="0.35">
      <c r="A45" s="30"/>
      <c r="B45" s="30"/>
      <c r="C45" s="30"/>
      <c r="D45" s="30"/>
      <c r="E45" s="30"/>
    </row>
    <row r="46" spans="1:5" x14ac:dyDescent="0.35">
      <c r="A46" s="30"/>
      <c r="B46" s="30"/>
      <c r="C46" s="30"/>
      <c r="D46" s="30"/>
      <c r="E46" s="30"/>
    </row>
    <row r="47" spans="1:5" x14ac:dyDescent="0.35">
      <c r="A47" s="30"/>
      <c r="B47" s="30"/>
      <c r="C47" s="30"/>
      <c r="D47" s="30"/>
      <c r="E47" s="30"/>
    </row>
    <row r="48" spans="1:5" x14ac:dyDescent="0.35">
      <c r="A48" s="30"/>
      <c r="B48" s="30"/>
      <c r="C48" s="30"/>
      <c r="D48" s="30"/>
      <c r="E48" s="30"/>
    </row>
    <row r="49" spans="1:5" x14ac:dyDescent="0.35">
      <c r="A49" s="30"/>
      <c r="B49" s="30"/>
      <c r="C49" s="30"/>
      <c r="D49" s="30"/>
      <c r="E49" s="30"/>
    </row>
    <row r="50" spans="1:5" x14ac:dyDescent="0.35">
      <c r="A50" s="30"/>
      <c r="B50" s="30"/>
      <c r="C50" s="30"/>
      <c r="D50" s="30"/>
      <c r="E50" s="30"/>
    </row>
    <row r="51" spans="1:5" x14ac:dyDescent="0.35">
      <c r="A51" s="30"/>
      <c r="B51" s="30"/>
      <c r="C51" s="30"/>
      <c r="D51" s="30"/>
      <c r="E51" s="30"/>
    </row>
    <row r="52" spans="1:5" x14ac:dyDescent="0.35">
      <c r="A52" s="30"/>
      <c r="B52" s="30"/>
      <c r="C52" s="30"/>
      <c r="D52" s="30"/>
      <c r="E52" s="30"/>
    </row>
    <row r="53" spans="1:5" x14ac:dyDescent="0.35">
      <c r="A53" s="30"/>
      <c r="B53" s="30"/>
      <c r="C53" s="30"/>
      <c r="D53" s="30"/>
      <c r="E53" s="30"/>
    </row>
    <row r="54" spans="1:5" x14ac:dyDescent="0.35">
      <c r="A54" s="30"/>
      <c r="B54" s="30"/>
      <c r="C54" s="30"/>
      <c r="D54" s="30"/>
      <c r="E54" s="30"/>
    </row>
    <row r="55" spans="1:5" x14ac:dyDescent="0.35">
      <c r="A55" s="30"/>
      <c r="B55" s="30"/>
      <c r="C55" s="30"/>
      <c r="D55" s="30"/>
      <c r="E55" s="30"/>
    </row>
    <row r="56" spans="1:5" x14ac:dyDescent="0.35">
      <c r="A56" s="30"/>
      <c r="B56" s="30"/>
      <c r="C56" s="30"/>
      <c r="D56" s="30"/>
      <c r="E56" s="30"/>
    </row>
    <row r="57" spans="1:5" x14ac:dyDescent="0.35">
      <c r="A57" s="30"/>
      <c r="B57" s="30"/>
      <c r="C57" s="30"/>
      <c r="D57" s="30"/>
      <c r="E57" s="30"/>
    </row>
    <row r="58" spans="1:5" x14ac:dyDescent="0.35">
      <c r="A58" s="30"/>
      <c r="B58" s="30"/>
      <c r="C58" s="30"/>
      <c r="D58" s="30"/>
      <c r="E58" s="30"/>
    </row>
    <row r="59" spans="1:5" x14ac:dyDescent="0.35">
      <c r="A59" s="30"/>
      <c r="B59" s="30"/>
      <c r="C59" s="30"/>
      <c r="D59" s="30"/>
      <c r="E59" s="30"/>
    </row>
    <row r="60" spans="1:5" x14ac:dyDescent="0.35">
      <c r="A60" s="30"/>
      <c r="B60" s="30"/>
      <c r="C60" s="30"/>
      <c r="D60" s="30"/>
      <c r="E60" s="30"/>
    </row>
    <row r="61" spans="1:5" x14ac:dyDescent="0.35">
      <c r="A61" s="30"/>
      <c r="B61" s="30"/>
      <c r="C61" s="30"/>
      <c r="D61" s="30"/>
      <c r="E61" s="30"/>
    </row>
    <row r="62" spans="1:5" x14ac:dyDescent="0.35">
      <c r="A62" s="30"/>
      <c r="B62" s="30"/>
      <c r="C62" s="30"/>
      <c r="D62" s="30"/>
      <c r="E62" s="30"/>
    </row>
    <row r="63" spans="1:5" x14ac:dyDescent="0.35">
      <c r="A63" s="30"/>
      <c r="B63" s="30"/>
      <c r="C63" s="30"/>
      <c r="D63" s="30"/>
      <c r="E63" s="30"/>
    </row>
    <row r="64" spans="1:5" x14ac:dyDescent="0.35">
      <c r="A64" s="30"/>
      <c r="B64" s="30"/>
      <c r="C64" s="30"/>
      <c r="D64" s="30"/>
      <c r="E64" s="30"/>
    </row>
    <row r="65" spans="1:5" x14ac:dyDescent="0.35">
      <c r="A65" s="30"/>
      <c r="B65" s="30"/>
      <c r="C65" s="30"/>
      <c r="D65" s="30"/>
      <c r="E65" s="30"/>
    </row>
    <row r="66" spans="1:5" x14ac:dyDescent="0.35">
      <c r="A66" s="30"/>
      <c r="B66" s="30"/>
      <c r="C66" s="30"/>
      <c r="D66" s="30"/>
      <c r="E66" s="30"/>
    </row>
    <row r="67" spans="1:5" x14ac:dyDescent="0.35">
      <c r="A67" s="30"/>
      <c r="B67" s="30"/>
      <c r="C67" s="30"/>
      <c r="D67" s="30"/>
      <c r="E67" s="30"/>
    </row>
    <row r="68" spans="1:5" x14ac:dyDescent="0.35">
      <c r="A68" s="30"/>
      <c r="B68" s="30"/>
      <c r="C68" s="30"/>
      <c r="D68" s="30"/>
      <c r="E68" s="30"/>
    </row>
    <row r="69" spans="1:5" x14ac:dyDescent="0.35">
      <c r="A69" s="30"/>
      <c r="B69" s="30"/>
      <c r="C69" s="30"/>
      <c r="D69" s="30"/>
      <c r="E69" s="30"/>
    </row>
    <row r="70" spans="1:5" x14ac:dyDescent="0.35">
      <c r="A70" s="30"/>
      <c r="B70" s="30"/>
      <c r="C70" s="30"/>
      <c r="D70" s="30"/>
      <c r="E70" s="30"/>
    </row>
    <row r="71" spans="1:5" x14ac:dyDescent="0.35">
      <c r="A71" s="30"/>
      <c r="B71" s="30"/>
      <c r="C71" s="30"/>
      <c r="D71" s="30"/>
      <c r="E71" s="30"/>
    </row>
    <row r="72" spans="1:5" x14ac:dyDescent="0.35">
      <c r="A72" s="30"/>
      <c r="B72" s="30"/>
      <c r="C72" s="30"/>
      <c r="D72" s="30"/>
      <c r="E72" s="30"/>
    </row>
    <row r="73" spans="1:5" x14ac:dyDescent="0.35">
      <c r="A73" s="30"/>
      <c r="B73" s="30"/>
      <c r="C73" s="30"/>
      <c r="D73" s="30"/>
      <c r="E73" s="30"/>
    </row>
    <row r="74" spans="1:5" x14ac:dyDescent="0.35">
      <c r="A74" s="30"/>
      <c r="B74" s="30"/>
      <c r="C74" s="30"/>
      <c r="D74" s="30"/>
      <c r="E74" s="30"/>
    </row>
    <row r="75" spans="1:5" x14ac:dyDescent="0.35">
      <c r="A75" s="30"/>
      <c r="B75" s="30"/>
      <c r="C75" s="30"/>
      <c r="D75" s="30"/>
      <c r="E75" s="30"/>
    </row>
    <row r="76" spans="1:5" x14ac:dyDescent="0.35">
      <c r="A76" s="30"/>
      <c r="B76" s="30"/>
      <c r="C76" s="30"/>
      <c r="D76" s="30"/>
      <c r="E76" s="30"/>
    </row>
    <row r="77" spans="1:5" x14ac:dyDescent="0.35">
      <c r="A77" s="30"/>
      <c r="B77" s="30"/>
      <c r="C77" s="30"/>
      <c r="D77" s="30"/>
      <c r="E77" s="30"/>
    </row>
    <row r="78" spans="1:5" x14ac:dyDescent="0.35">
      <c r="A78" s="30"/>
      <c r="B78" s="30"/>
      <c r="C78" s="30"/>
      <c r="D78" s="30"/>
      <c r="E78" s="30"/>
    </row>
    <row r="79" spans="1:5" x14ac:dyDescent="0.35">
      <c r="A79" s="30"/>
      <c r="B79" s="30"/>
      <c r="C79" s="30"/>
      <c r="D79" s="30"/>
      <c r="E79" s="30"/>
    </row>
    <row r="80" spans="1:5" x14ac:dyDescent="0.35">
      <c r="A80" s="30"/>
      <c r="B80" s="30"/>
      <c r="C80" s="30"/>
      <c r="D80" s="30"/>
      <c r="E80" s="30"/>
    </row>
    <row r="81" spans="1:5" x14ac:dyDescent="0.35">
      <c r="A81" s="30"/>
      <c r="B81" s="30"/>
      <c r="C81" s="30"/>
      <c r="D81" s="30"/>
      <c r="E81" s="30"/>
    </row>
    <row r="82" spans="1:5" x14ac:dyDescent="0.35">
      <c r="A82" s="30"/>
      <c r="B82" s="30"/>
      <c r="C82" s="30"/>
      <c r="D82" s="30"/>
      <c r="E82" s="30"/>
    </row>
    <row r="83" spans="1:5" x14ac:dyDescent="0.35">
      <c r="A83" s="30"/>
      <c r="B83" s="30"/>
      <c r="C83" s="30"/>
      <c r="D83" s="30"/>
      <c r="E83" s="30"/>
    </row>
    <row r="84" spans="1:5" x14ac:dyDescent="0.35">
      <c r="A84" s="30"/>
      <c r="B84" s="30"/>
      <c r="C84" s="30"/>
      <c r="D84" s="30"/>
      <c r="E84" s="30"/>
    </row>
    <row r="85" spans="1:5" x14ac:dyDescent="0.35">
      <c r="A85" s="30"/>
      <c r="B85" s="30"/>
      <c r="C85" s="30"/>
      <c r="D85" s="30"/>
      <c r="E85" s="30"/>
    </row>
    <row r="86" spans="1:5" x14ac:dyDescent="0.35">
      <c r="A86" s="30"/>
      <c r="B86" s="30"/>
      <c r="C86" s="30"/>
      <c r="D86" s="30"/>
      <c r="E86" s="30"/>
    </row>
    <row r="87" spans="1:5" x14ac:dyDescent="0.35">
      <c r="A87" s="30"/>
      <c r="B87" s="30"/>
      <c r="C87" s="30"/>
      <c r="D87" s="30"/>
      <c r="E87" s="30"/>
    </row>
    <row r="88" spans="1:5" x14ac:dyDescent="0.35">
      <c r="A88" s="30"/>
      <c r="B88" s="30"/>
      <c r="C88" s="30"/>
      <c r="D88" s="30"/>
      <c r="E88" s="30"/>
    </row>
    <row r="89" spans="1:5" x14ac:dyDescent="0.35">
      <c r="A89" s="30"/>
      <c r="B89" s="30"/>
      <c r="C89" s="30"/>
      <c r="D89" s="30"/>
      <c r="E89" s="30"/>
    </row>
    <row r="90" spans="1:5" x14ac:dyDescent="0.35">
      <c r="A90" s="30"/>
      <c r="B90" s="30"/>
      <c r="C90" s="30"/>
      <c r="D90" s="30"/>
      <c r="E90" s="30"/>
    </row>
    <row r="91" spans="1:5" x14ac:dyDescent="0.35">
      <c r="A91" s="30"/>
      <c r="B91" s="30"/>
      <c r="C91" s="30"/>
      <c r="D91" s="30"/>
      <c r="E91" s="30"/>
    </row>
    <row r="92" spans="1:5" x14ac:dyDescent="0.35">
      <c r="A92" s="30"/>
      <c r="B92" s="30"/>
      <c r="C92" s="30"/>
      <c r="D92" s="30"/>
      <c r="E92" s="30"/>
    </row>
    <row r="93" spans="1:5" x14ac:dyDescent="0.35">
      <c r="A93" s="30"/>
      <c r="B93" s="30"/>
      <c r="C93" s="30"/>
      <c r="D93" s="30"/>
      <c r="E93" s="30"/>
    </row>
    <row r="94" spans="1:5" x14ac:dyDescent="0.35">
      <c r="A94" s="30"/>
      <c r="B94" s="30"/>
      <c r="C94" s="30"/>
      <c r="D94" s="30"/>
      <c r="E94" s="30"/>
    </row>
    <row r="95" spans="1:5" x14ac:dyDescent="0.35">
      <c r="A95" s="30"/>
      <c r="B95" s="30"/>
      <c r="C95" s="30"/>
      <c r="D95" s="30"/>
      <c r="E95" s="30"/>
    </row>
    <row r="96" spans="1:5" x14ac:dyDescent="0.35">
      <c r="A96" s="30"/>
      <c r="B96" s="30"/>
      <c r="C96" s="30"/>
      <c r="D96" s="30"/>
      <c r="E96" s="30"/>
    </row>
    <row r="97" spans="1:5" x14ac:dyDescent="0.35">
      <c r="A97" s="30"/>
      <c r="B97" s="30"/>
      <c r="C97" s="30"/>
      <c r="D97" s="30"/>
      <c r="E97" s="30"/>
    </row>
  </sheetData>
  <autoFilter ref="A5:E29" xr:uid="{F3523948-9F4B-4C86-A665-1F79D58D4892}">
    <filterColumn colId="1">
      <filters>
        <filter val="Dallas"/>
        <filter val="Goulburn"/>
      </filters>
    </filterColumn>
  </autoFilter>
  <mergeCells count="1">
    <mergeCell ref="A2:E2"/>
  </mergeCell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7DBE-DF2E-4362-905E-C9FE47C79270}">
  <dimension ref="A1:G11"/>
  <sheetViews>
    <sheetView workbookViewId="0">
      <selection activeCell="I25" sqref="I25"/>
    </sheetView>
  </sheetViews>
  <sheetFormatPr baseColWidth="10" defaultRowHeight="14.5" x14ac:dyDescent="0.35"/>
  <cols>
    <col min="2" max="2" width="13.36328125" customWidth="1"/>
  </cols>
  <sheetData>
    <row r="1" spans="1:7" ht="45.5" customHeight="1" x14ac:dyDescent="0.35">
      <c r="A1" s="41" t="s">
        <v>121</v>
      </c>
      <c r="B1" s="41"/>
      <c r="C1" s="41"/>
      <c r="D1" s="41"/>
      <c r="E1" s="41"/>
      <c r="F1" s="41"/>
      <c r="G1" s="41"/>
    </row>
    <row r="3" spans="1:7" x14ac:dyDescent="0.35">
      <c r="B3" s="22" t="s">
        <v>119</v>
      </c>
      <c r="C3" s="38"/>
    </row>
    <row r="7" spans="1:7" ht="47.5" customHeight="1" x14ac:dyDescent="0.35">
      <c r="A7" s="41" t="s">
        <v>120</v>
      </c>
      <c r="B7" s="41"/>
      <c r="C7" s="41"/>
      <c r="D7" s="41"/>
      <c r="E7" s="41"/>
      <c r="F7" s="41"/>
      <c r="G7" s="41"/>
    </row>
    <row r="11" spans="1:7" ht="43.5" customHeight="1" x14ac:dyDescent="0.35">
      <c r="A11" s="41" t="s">
        <v>122</v>
      </c>
      <c r="B11" s="41"/>
      <c r="C11" s="41"/>
      <c r="D11" s="41"/>
      <c r="E11" s="41"/>
      <c r="F11" s="41"/>
      <c r="G11" s="41"/>
    </row>
  </sheetData>
  <mergeCells count="3">
    <mergeCell ref="A1:G1"/>
    <mergeCell ref="A7:G7"/>
    <mergeCell ref="A11:G11"/>
  </mergeCells>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7FBB1-C709-4E76-BA71-62FDED4DFAD9}">
  <dimension ref="A1:G21"/>
  <sheetViews>
    <sheetView workbookViewId="0">
      <selection activeCell="A17" sqref="A17:G17"/>
    </sheetView>
  </sheetViews>
  <sheetFormatPr baseColWidth="10" defaultRowHeight="14.5" x14ac:dyDescent="0.35"/>
  <sheetData>
    <row r="1" spans="1:7" ht="63.5" customHeight="1" x14ac:dyDescent="0.35">
      <c r="A1" s="41" t="s">
        <v>137</v>
      </c>
      <c r="B1" s="41"/>
      <c r="C1" s="41"/>
      <c r="D1" s="41"/>
      <c r="E1" s="41"/>
      <c r="F1" s="41"/>
      <c r="G1" s="41"/>
    </row>
    <row r="3" spans="1:7" ht="18.5" x14ac:dyDescent="0.45">
      <c r="A3" s="39" t="s">
        <v>123</v>
      </c>
      <c r="B3" s="39" t="s">
        <v>124</v>
      </c>
      <c r="C3" s="39" t="s">
        <v>56</v>
      </c>
      <c r="D3" s="39" t="s">
        <v>125</v>
      </c>
      <c r="E3" s="39" t="s">
        <v>34</v>
      </c>
      <c r="F3" s="39" t="s">
        <v>126</v>
      </c>
      <c r="G3" s="39" t="s">
        <v>127</v>
      </c>
    </row>
    <row r="4" spans="1:7" x14ac:dyDescent="0.35">
      <c r="A4">
        <v>1</v>
      </c>
      <c r="B4" s="40">
        <v>40887</v>
      </c>
      <c r="C4" s="40" t="s">
        <v>128</v>
      </c>
      <c r="D4" t="s">
        <v>129</v>
      </c>
      <c r="E4">
        <v>7062</v>
      </c>
      <c r="F4" t="s">
        <v>130</v>
      </c>
      <c r="G4" t="s">
        <v>131</v>
      </c>
    </row>
    <row r="5" spans="1:7" x14ac:dyDescent="0.35">
      <c r="A5">
        <v>2</v>
      </c>
      <c r="B5" s="40">
        <v>40888</v>
      </c>
      <c r="C5" s="40" t="s">
        <v>128</v>
      </c>
      <c r="D5" t="s">
        <v>132</v>
      </c>
      <c r="E5">
        <v>2244</v>
      </c>
      <c r="F5" t="s">
        <v>130</v>
      </c>
      <c r="G5" t="s">
        <v>133</v>
      </c>
    </row>
    <row r="6" spans="1:7" x14ac:dyDescent="0.35">
      <c r="A6">
        <v>3</v>
      </c>
      <c r="B6" s="40">
        <v>40890</v>
      </c>
      <c r="C6" s="40" t="s">
        <v>128</v>
      </c>
      <c r="D6" t="s">
        <v>132</v>
      </c>
      <c r="E6">
        <v>7686</v>
      </c>
      <c r="F6" t="s">
        <v>130</v>
      </c>
      <c r="G6" t="s">
        <v>134</v>
      </c>
    </row>
    <row r="7" spans="1:7" x14ac:dyDescent="0.35">
      <c r="A7">
        <v>4</v>
      </c>
      <c r="B7" s="40">
        <v>40891</v>
      </c>
      <c r="C7" s="40" t="s">
        <v>128</v>
      </c>
      <c r="D7" t="s">
        <v>129</v>
      </c>
      <c r="E7">
        <v>2956</v>
      </c>
      <c r="F7" t="s">
        <v>135</v>
      </c>
      <c r="G7" t="s">
        <v>131</v>
      </c>
    </row>
    <row r="8" spans="1:7" x14ac:dyDescent="0.35">
      <c r="A8">
        <v>5</v>
      </c>
      <c r="B8" s="40">
        <v>40891</v>
      </c>
      <c r="C8" s="40" t="s">
        <v>128</v>
      </c>
      <c r="D8" t="s">
        <v>129</v>
      </c>
      <c r="E8">
        <v>1394</v>
      </c>
      <c r="F8" t="s">
        <v>135</v>
      </c>
      <c r="G8" t="s">
        <v>136</v>
      </c>
    </row>
    <row r="9" spans="1:7" x14ac:dyDescent="0.35">
      <c r="A9">
        <v>6</v>
      </c>
      <c r="B9" s="40">
        <v>40892</v>
      </c>
      <c r="C9" s="40" t="s">
        <v>128</v>
      </c>
      <c r="D9" t="s">
        <v>129</v>
      </c>
      <c r="E9">
        <v>8165</v>
      </c>
      <c r="F9" t="s">
        <v>135</v>
      </c>
      <c r="G9" t="s">
        <v>133</v>
      </c>
    </row>
    <row r="10" spans="1:7" x14ac:dyDescent="0.35">
      <c r="A10">
        <v>7</v>
      </c>
      <c r="B10" s="40">
        <v>40892</v>
      </c>
      <c r="C10" s="40" t="s">
        <v>128</v>
      </c>
      <c r="D10" t="s">
        <v>129</v>
      </c>
      <c r="E10">
        <v>9169</v>
      </c>
      <c r="F10" t="s">
        <v>135</v>
      </c>
      <c r="G10" t="s">
        <v>133</v>
      </c>
    </row>
    <row r="11" spans="1:7" x14ac:dyDescent="0.35">
      <c r="A11">
        <v>8</v>
      </c>
      <c r="B11" s="40">
        <v>40893</v>
      </c>
      <c r="C11" s="40" t="s">
        <v>128</v>
      </c>
      <c r="D11" t="s">
        <v>132</v>
      </c>
      <c r="E11">
        <v>4448</v>
      </c>
      <c r="F11" t="s">
        <v>135</v>
      </c>
      <c r="G11" t="s">
        <v>134</v>
      </c>
    </row>
    <row r="12" spans="1:7" x14ac:dyDescent="0.35">
      <c r="A12">
        <v>9</v>
      </c>
      <c r="B12" s="40">
        <v>40893</v>
      </c>
      <c r="C12" s="40" t="s">
        <v>128</v>
      </c>
      <c r="D12" t="s">
        <v>132</v>
      </c>
      <c r="E12">
        <v>3022</v>
      </c>
      <c r="F12" t="s">
        <v>135</v>
      </c>
      <c r="G12" t="s">
        <v>134</v>
      </c>
    </row>
    <row r="13" spans="1:7" x14ac:dyDescent="0.35">
      <c r="A13">
        <v>10</v>
      </c>
      <c r="B13" s="40">
        <v>40894</v>
      </c>
      <c r="C13" s="40" t="s">
        <v>128</v>
      </c>
      <c r="D13" t="s">
        <v>132</v>
      </c>
      <c r="E13">
        <v>365</v>
      </c>
      <c r="F13" t="s">
        <v>135</v>
      </c>
      <c r="G13" t="s">
        <v>136</v>
      </c>
    </row>
    <row r="17" spans="1:7" ht="15.5" x14ac:dyDescent="0.35">
      <c r="A17" s="41" t="s">
        <v>138</v>
      </c>
      <c r="B17" s="41"/>
      <c r="C17" s="41"/>
      <c r="D17" s="41"/>
      <c r="E17" s="41"/>
      <c r="F17" s="41"/>
      <c r="G17" s="41"/>
    </row>
    <row r="21" spans="1:7" ht="15.5" x14ac:dyDescent="0.35">
      <c r="A21" s="41" t="s">
        <v>139</v>
      </c>
      <c r="B21" s="41"/>
      <c r="C21" s="41"/>
      <c r="D21" s="41"/>
      <c r="E21" s="41"/>
      <c r="F21" s="41"/>
      <c r="G21" s="41"/>
    </row>
  </sheetData>
  <mergeCells count="3">
    <mergeCell ref="A1:G1"/>
    <mergeCell ref="A17:G17"/>
    <mergeCell ref="A21:G21"/>
  </mergeCells>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7E74-E406-436C-8325-99FDD9D75201}">
  <dimension ref="A1:O13"/>
  <sheetViews>
    <sheetView tabSelected="1" workbookViewId="0">
      <selection activeCell="K12" sqref="K12"/>
    </sheetView>
  </sheetViews>
  <sheetFormatPr baseColWidth="10" defaultRowHeight="14.5" x14ac:dyDescent="0.35"/>
  <cols>
    <col min="1" max="1" width="11" customWidth="1"/>
  </cols>
  <sheetData>
    <row r="1" spans="1:15" ht="44" customHeight="1" x14ac:dyDescent="0.35">
      <c r="A1" s="41" t="s">
        <v>152</v>
      </c>
      <c r="B1" s="41"/>
      <c r="C1" s="41"/>
      <c r="D1" s="41"/>
      <c r="E1" s="41"/>
      <c r="F1" s="41"/>
      <c r="G1" s="41"/>
    </row>
    <row r="2" spans="1:15" ht="20" x14ac:dyDescent="0.4">
      <c r="H2" s="36" t="s">
        <v>151</v>
      </c>
      <c r="M2" s="46" t="s">
        <v>140</v>
      </c>
      <c r="N2" s="46" t="s">
        <v>141</v>
      </c>
      <c r="O2" s="46" t="s">
        <v>142</v>
      </c>
    </row>
    <row r="3" spans="1:15" ht="15.5" x14ac:dyDescent="0.35">
      <c r="B3" s="45" t="s">
        <v>140</v>
      </c>
      <c r="C3" s="45" t="s">
        <v>141</v>
      </c>
      <c r="D3" s="45" t="s">
        <v>142</v>
      </c>
      <c r="E3" s="45" t="s">
        <v>142</v>
      </c>
      <c r="M3" s="1" t="s">
        <v>143</v>
      </c>
      <c r="N3" s="1" t="s">
        <v>144</v>
      </c>
      <c r="O3" s="1">
        <v>5</v>
      </c>
    </row>
    <row r="4" spans="1:15" ht="15.5" x14ac:dyDescent="0.35">
      <c r="B4" s="1"/>
      <c r="C4" s="1"/>
      <c r="D4" s="1"/>
      <c r="E4" s="1"/>
      <c r="M4" s="1" t="s">
        <v>145</v>
      </c>
      <c r="N4" s="1" t="s">
        <v>146</v>
      </c>
      <c r="O4" s="1">
        <v>7</v>
      </c>
    </row>
    <row r="5" spans="1:15" ht="15.5" x14ac:dyDescent="0.35">
      <c r="M5" s="1" t="s">
        <v>147</v>
      </c>
      <c r="N5" s="1" t="s">
        <v>148</v>
      </c>
      <c r="O5" s="1">
        <v>4</v>
      </c>
    </row>
    <row r="6" spans="1:15" ht="16" thickBot="1" x14ac:dyDescent="0.4">
      <c r="M6" s="1" t="s">
        <v>143</v>
      </c>
      <c r="N6" s="1" t="s">
        <v>148</v>
      </c>
      <c r="O6" s="1">
        <v>3</v>
      </c>
    </row>
    <row r="7" spans="1:15" ht="16" thickBot="1" x14ac:dyDescent="0.4">
      <c r="C7" s="19" t="s">
        <v>150</v>
      </c>
      <c r="D7" s="47"/>
      <c r="M7" s="1" t="s">
        <v>143</v>
      </c>
      <c r="N7" s="1" t="s">
        <v>149</v>
      </c>
      <c r="O7" s="1">
        <v>3</v>
      </c>
    </row>
    <row r="8" spans="1:15" ht="15.5" x14ac:dyDescent="0.35">
      <c r="M8" s="1" t="s">
        <v>147</v>
      </c>
      <c r="N8" s="1" t="s">
        <v>146</v>
      </c>
      <c r="O8" s="1">
        <v>5</v>
      </c>
    </row>
    <row r="9" spans="1:15" ht="15.5" x14ac:dyDescent="0.35">
      <c r="M9" s="1" t="s">
        <v>145</v>
      </c>
      <c r="N9" s="1" t="s">
        <v>148</v>
      </c>
      <c r="O9" s="1">
        <v>6</v>
      </c>
    </row>
    <row r="10" spans="1:15" ht="15.5" x14ac:dyDescent="0.35">
      <c r="M10" s="1" t="s">
        <v>147</v>
      </c>
      <c r="N10" s="1" t="s">
        <v>149</v>
      </c>
      <c r="O10" s="1">
        <v>8</v>
      </c>
    </row>
    <row r="11" spans="1:15" ht="46.5" customHeight="1" x14ac:dyDescent="0.35">
      <c r="A11" s="41" t="s">
        <v>153</v>
      </c>
      <c r="B11" s="41"/>
      <c r="C11" s="41"/>
      <c r="D11" s="41"/>
      <c r="E11" s="41"/>
      <c r="F11" s="41"/>
      <c r="G11" s="41"/>
    </row>
    <row r="12" spans="1:15" ht="15" thickBot="1" x14ac:dyDescent="0.4"/>
    <row r="13" spans="1:15" ht="20.5" thickBot="1" x14ac:dyDescent="0.45">
      <c r="C13" s="19" t="s">
        <v>150</v>
      </c>
      <c r="D13" s="47"/>
      <c r="F13" s="36" t="s">
        <v>154</v>
      </c>
    </row>
  </sheetData>
  <mergeCells count="2">
    <mergeCell ref="A1:G1"/>
    <mergeCell ref="A11:G11"/>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11</vt:i4>
      </vt:variant>
    </vt:vector>
  </HeadingPairs>
  <TitlesOfParts>
    <vt:vector size="11" baseType="lpstr">
      <vt:lpstr>Tabelle1</vt:lpstr>
      <vt:lpstr>Tabelle2</vt:lpstr>
      <vt:lpstr>Tabelle3</vt:lpstr>
      <vt:lpstr>Tabelle4</vt:lpstr>
      <vt:lpstr>Tabelle5</vt:lpstr>
      <vt:lpstr>Tabelle6</vt:lpstr>
      <vt:lpstr>Tabelle7</vt:lpstr>
      <vt:lpstr>Tabelle8</vt:lpstr>
      <vt:lpstr>Tabelle9</vt:lpstr>
      <vt:lpstr>Tabelle10</vt:lpstr>
      <vt:lpstr>Tabelle11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Lube Anja</dc:creator>
  <cp:lastModifiedBy>Lube Anja</cp:lastModifiedBy>
  <dcterms:created xsi:type="dcterms:W3CDTF">2025-11-11T20:07:59Z</dcterms:created>
  <dcterms:modified xsi:type="dcterms:W3CDTF">2025-11-12T09:30:32Z</dcterms:modified>
</cp:coreProperties>
</file>