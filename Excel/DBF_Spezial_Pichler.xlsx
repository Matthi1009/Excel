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chule\Schule\Infi excel\"/>
    </mc:Choice>
  </mc:AlternateContent>
  <xr:revisionPtr revIDLastSave="0" documentId="13_ncr:1_{B91A671F-8D38-4F27-84FD-9662DBF974DB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enbankfunktionen" sheetId="1" r:id="rId1"/>
    <sheet name="Spezialfilter" sheetId="2" r:id="rId2"/>
  </sheets>
  <definedNames>
    <definedName name="_xlnm._FilterDatabase" localSheetId="0" hidden="1">Datenbankfunktionen!$A$1:$D$1</definedName>
    <definedName name="_xlnm._FilterDatabase" localSheetId="1" hidden="1">Spezialfilter!$A$1:$D$26</definedName>
    <definedName name="_xlnm.Criteria" localSheetId="1">Spezialfilter!$F$59:$I$61</definedName>
    <definedName name="_xlnm.Extract" localSheetId="1">Spezialfilter!$F$63:$I$63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1" l="1"/>
  <c r="G12" i="1"/>
  <c r="G10" i="1"/>
  <c r="G8" i="1"/>
  <c r="G6" i="1"/>
</calcChain>
</file>

<file path=xl/sharedStrings.xml><?xml version="1.0" encoding="utf-8"?>
<sst xmlns="http://schemas.openxmlformats.org/spreadsheetml/2006/main" count="342" uniqueCount="75">
  <si>
    <t>Name</t>
  </si>
  <si>
    <t>Vorname</t>
  </si>
  <si>
    <t>Abt</t>
  </si>
  <si>
    <t>Gehalt</t>
  </si>
  <si>
    <t>Maier</t>
  </si>
  <si>
    <t>Heinz</t>
  </si>
  <si>
    <t>Seler</t>
  </si>
  <si>
    <t>Gerhard</t>
  </si>
  <si>
    <t>Gründel</t>
  </si>
  <si>
    <t>Georg</t>
  </si>
  <si>
    <t>Binsen</t>
  </si>
  <si>
    <t>Hans</t>
  </si>
  <si>
    <t>Pfaff</t>
  </si>
  <si>
    <t>Karl</t>
  </si>
  <si>
    <t>Klein</t>
  </si>
  <si>
    <t>Peter</t>
  </si>
  <si>
    <t>Mößner</t>
  </si>
  <si>
    <t>Braun</t>
  </si>
  <si>
    <t>Thomas</t>
  </si>
  <si>
    <t>Weber</t>
  </si>
  <si>
    <t>Eberhard</t>
  </si>
  <si>
    <t>Wessing</t>
  </si>
  <si>
    <t>Holger</t>
  </si>
  <si>
    <t>Muscheid</t>
  </si>
  <si>
    <t>Hark</t>
  </si>
  <si>
    <t>Stefan</t>
  </si>
  <si>
    <t>Heinicke</t>
  </si>
  <si>
    <t>Michael</t>
  </si>
  <si>
    <t>Thomann</t>
  </si>
  <si>
    <t>Bert</t>
  </si>
  <si>
    <t>Kunitz</t>
  </si>
  <si>
    <t>Stegan</t>
  </si>
  <si>
    <t>Philip</t>
  </si>
  <si>
    <t>Dietrich</t>
  </si>
  <si>
    <t>Hansen</t>
  </si>
  <si>
    <t>Gregor</t>
  </si>
  <si>
    <t>Trautner</t>
  </si>
  <si>
    <t>Braatz</t>
  </si>
  <si>
    <t>Matthias</t>
  </si>
  <si>
    <t>Traunert</t>
  </si>
  <si>
    <t>Schulz</t>
  </si>
  <si>
    <t>Martin</t>
  </si>
  <si>
    <t>Konrad</t>
  </si>
  <si>
    <t>Friedrich</t>
  </si>
  <si>
    <t>Sattig</t>
  </si>
  <si>
    <t>Herrmann</t>
  </si>
  <si>
    <t>atzenger</t>
  </si>
  <si>
    <t>BH</t>
  </si>
  <si>
    <t>VK</t>
  </si>
  <si>
    <t>AV</t>
  </si>
  <si>
    <t>EK</t>
  </si>
  <si>
    <t>DP</t>
  </si>
  <si>
    <t>DV</t>
  </si>
  <si>
    <t>LA</t>
  </si>
  <si>
    <t>Anzahl Mitarbeiter</t>
  </si>
  <si>
    <t>Durchschnittliches Gehalt</t>
  </si>
  <si>
    <t>Höchstes Gehalt</t>
  </si>
  <si>
    <t>Niedrigstes Gehalt</t>
  </si>
  <si>
    <t>1. Spezialfilter mit Abteilung BH</t>
  </si>
  <si>
    <t>Gehälter dieser Abteilung Summe</t>
  </si>
  <si>
    <t>Schreiber</t>
  </si>
  <si>
    <t>3. Spezialfilter mit Abteilung BH und Gehalt über € 5.000,--</t>
  </si>
  <si>
    <r>
      <t xml:space="preserve">4. Spezialfilter mit Abteilung BH </t>
    </r>
    <r>
      <rPr>
        <b/>
        <u/>
        <sz val="16"/>
        <color theme="8" tint="0.39997558519241921"/>
        <rFont val="Times New Roman"/>
        <family val="1"/>
      </rPr>
      <t>ODER</t>
    </r>
    <r>
      <rPr>
        <b/>
        <sz val="16"/>
        <color theme="8" tint="0.39997558519241921"/>
        <rFont val="Times New Roman"/>
        <family val="1"/>
      </rPr>
      <t xml:space="preserve"> Gehalt über € 5.000,--</t>
    </r>
  </si>
  <si>
    <r>
      <t xml:space="preserve">5. Spezialfilter mit Abteilung BH </t>
    </r>
    <r>
      <rPr>
        <b/>
        <u/>
        <sz val="16"/>
        <color theme="8" tint="0.39997558519241921"/>
        <rFont val="Times New Roman"/>
        <family val="1"/>
      </rPr>
      <t xml:space="preserve"> ODER </t>
    </r>
    <r>
      <rPr>
        <b/>
        <sz val="16"/>
        <color theme="8" tint="0.39997558519241921"/>
        <rFont val="Times New Roman"/>
        <family val="1"/>
      </rPr>
      <t xml:space="preserve"> LA</t>
    </r>
  </si>
  <si>
    <t>2. Spezialfilter ohne Abteilung; mit Gehalt über € 5.000,--</t>
  </si>
  <si>
    <t>Vorgehnsweise:</t>
  </si>
  <si>
    <t xml:space="preserve">Schneiden Sie Überschrift Nr. 1 aus und fügen Sie diese in die Zelle F2 ein, dann erstellen Sie </t>
  </si>
  <si>
    <t>Danach folgt Überschrift Nr. 3, usw.</t>
  </si>
  <si>
    <t xml:space="preserve">Dann schneiden Sie Überschrift Nr. 2 aus und fügen Sie diese unter dem erstellten Spezialfilter ein. </t>
  </si>
  <si>
    <t xml:space="preserve">Ihren Kriterienbereich unterhalb  und lassen sich im Anschluss daran den Spezialfilter ausgeben. </t>
  </si>
  <si>
    <t>Erstellen Sie wieder Kriterienbereich sowie Spezialfilter.</t>
  </si>
  <si>
    <t xml:space="preserve">1. Erstllen Sie einen Kriterienbereich rechts von hier. </t>
  </si>
  <si>
    <t>2. Als Kriterium soll Abteilung DP dienen.</t>
  </si>
  <si>
    <t>&gt;5000</t>
  </si>
  <si>
    <t>&lt;5000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</si>
</sst>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6"/>
      <color theme="8" tint="0.39997558519241921"/>
      <name val="Times New Roman"/>
      <family val="1"/>
    </font>
    <font>
      <b/>
      <sz val="16"/>
      <color theme="8" tint="0.39997558519241921"/>
      <name val="Times New Roman"/>
      <family val="1"/>
    </font>
    <font>
      <b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2" borderId="0" xfId="0" applyFont="1" applyFill="1"/>
    <xf numFmtId="2" fontId="3" fillId="0" borderId="0" xfId="0" applyNumberFormat="1" applyFont="1"/>
    <xf numFmtId="0" fontId="5" fillId="0" borderId="0" xfId="0" applyFont="1"/>
    <xf numFmtId="0" fontId="6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zoomScale="58" workbookViewId="0">
      <selection activeCell="G15" sqref="G15"/>
    </sheetView>
  </sheetViews>
  <sheetFormatPr baseColWidth="10" defaultColWidth="11.453125" defaultRowHeight="15.5" x14ac:dyDescent="0.35"/>
  <cols>
    <col min="1" max="2" width="11.453125" style="3"/>
    <col min="3" max="4" width="11.453125" style="4"/>
    <col min="5" max="5" width="11.453125" style="3"/>
    <col min="6" max="6" width="35.1796875" style="1" customWidth="1"/>
    <col min="7" max="7" width="15.453125" style="3" customWidth="1"/>
    <col min="8" max="16384" width="11.453125" style="3"/>
  </cols>
  <sheetData>
    <row r="1" spans="1:13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13" x14ac:dyDescent="0.35">
      <c r="A2" s="3" t="s">
        <v>4</v>
      </c>
      <c r="B2" s="3" t="s">
        <v>5</v>
      </c>
      <c r="C2" s="4" t="s">
        <v>47</v>
      </c>
      <c r="D2" s="5">
        <v>3550</v>
      </c>
      <c r="F2" s="1" t="s">
        <v>71</v>
      </c>
      <c r="J2" s="1" t="s">
        <v>0</v>
      </c>
      <c r="K2" s="1" t="s">
        <v>1</v>
      </c>
      <c r="L2" s="2" t="s">
        <v>2</v>
      </c>
      <c r="M2" s="2" t="s">
        <v>3</v>
      </c>
    </row>
    <row r="3" spans="1:13" x14ac:dyDescent="0.35">
      <c r="A3" s="3" t="s">
        <v>6</v>
      </c>
      <c r="B3" s="3" t="s">
        <v>7</v>
      </c>
      <c r="C3" s="4" t="s">
        <v>48</v>
      </c>
      <c r="D3" s="5">
        <v>3645.94</v>
      </c>
      <c r="F3" s="1" t="s">
        <v>72</v>
      </c>
      <c r="L3" s="3" t="s">
        <v>51</v>
      </c>
    </row>
    <row r="4" spans="1:13" x14ac:dyDescent="0.35">
      <c r="A4" s="3" t="s">
        <v>8</v>
      </c>
      <c r="B4" s="3" t="s">
        <v>9</v>
      </c>
      <c r="C4" s="4" t="s">
        <v>48</v>
      </c>
      <c r="D4" s="5">
        <v>3246.44</v>
      </c>
    </row>
    <row r="5" spans="1:13" x14ac:dyDescent="0.35">
      <c r="A5" s="3" t="s">
        <v>10</v>
      </c>
      <c r="B5" s="3" t="s">
        <v>11</v>
      </c>
      <c r="C5" s="4" t="s">
        <v>47</v>
      </c>
      <c r="D5" s="5">
        <v>3842.45</v>
      </c>
      <c r="F5" s="3"/>
    </row>
    <row r="6" spans="1:13" x14ac:dyDescent="0.35">
      <c r="A6" s="3" t="s">
        <v>12</v>
      </c>
      <c r="B6" s="3" t="s">
        <v>13</v>
      </c>
      <c r="C6" s="4" t="s">
        <v>49</v>
      </c>
      <c r="D6" s="5">
        <v>4250</v>
      </c>
      <c r="F6" s="1" t="s">
        <v>54</v>
      </c>
      <c r="G6" s="6">
        <f>DCOUNTA(A1:D26,C1,J2:M3)</f>
        <v>8</v>
      </c>
    </row>
    <row r="7" spans="1:13" x14ac:dyDescent="0.35">
      <c r="A7" s="3" t="s">
        <v>14</v>
      </c>
      <c r="B7" s="3" t="s">
        <v>15</v>
      </c>
      <c r="C7" s="4" t="s">
        <v>49</v>
      </c>
      <c r="D7" s="5">
        <v>4250</v>
      </c>
    </row>
    <row r="8" spans="1:13" x14ac:dyDescent="0.35">
      <c r="A8" s="3" t="s">
        <v>16</v>
      </c>
      <c r="B8" s="3" t="s">
        <v>7</v>
      </c>
      <c r="C8" s="4" t="s">
        <v>50</v>
      </c>
      <c r="D8" s="5">
        <v>3856.55</v>
      </c>
      <c r="F8" s="1" t="s">
        <v>59</v>
      </c>
      <c r="G8" s="6">
        <f>DSUM(A1:D26,D1,J2:M3)</f>
        <v>28254.05</v>
      </c>
      <c r="J8" s="1"/>
    </row>
    <row r="9" spans="1:13" x14ac:dyDescent="0.35">
      <c r="A9" s="3" t="s">
        <v>17</v>
      </c>
      <c r="B9" s="3" t="s">
        <v>18</v>
      </c>
      <c r="C9" s="4" t="s">
        <v>50</v>
      </c>
      <c r="D9" s="5">
        <v>4188.22</v>
      </c>
    </row>
    <row r="10" spans="1:13" x14ac:dyDescent="0.35">
      <c r="A10" s="3" t="s">
        <v>19</v>
      </c>
      <c r="B10" s="3" t="s">
        <v>20</v>
      </c>
      <c r="C10" s="4" t="s">
        <v>49</v>
      </c>
      <c r="D10" s="5">
        <v>3428</v>
      </c>
      <c r="F10" s="1" t="s">
        <v>55</v>
      </c>
      <c r="G10" s="6">
        <f>DAVERAGE(A1:D26,D1,J2:M3)</f>
        <v>3531.7562499999999</v>
      </c>
    </row>
    <row r="11" spans="1:13" x14ac:dyDescent="0.35">
      <c r="A11" s="3" t="s">
        <v>21</v>
      </c>
      <c r="B11" s="3" t="s">
        <v>22</v>
      </c>
      <c r="C11" s="4" t="s">
        <v>51</v>
      </c>
      <c r="D11" s="5">
        <v>3612</v>
      </c>
      <c r="G11" s="7"/>
    </row>
    <row r="12" spans="1:13" x14ac:dyDescent="0.35">
      <c r="A12" s="3" t="s">
        <v>23</v>
      </c>
      <c r="B12" s="3" t="s">
        <v>20</v>
      </c>
      <c r="C12" s="4" t="s">
        <v>51</v>
      </c>
      <c r="D12" s="5">
        <v>3500</v>
      </c>
      <c r="F12" s="1" t="s">
        <v>56</v>
      </c>
      <c r="G12" s="6">
        <f>DMAX(A1:D26,D1,J2:M3)</f>
        <v>4280</v>
      </c>
    </row>
    <row r="13" spans="1:13" x14ac:dyDescent="0.35">
      <c r="A13" s="3" t="s">
        <v>24</v>
      </c>
      <c r="B13" s="3" t="s">
        <v>25</v>
      </c>
      <c r="C13" s="4" t="s">
        <v>47</v>
      </c>
      <c r="D13" s="5">
        <v>6215</v>
      </c>
    </row>
    <row r="14" spans="1:13" x14ac:dyDescent="0.35">
      <c r="A14" s="3" t="s">
        <v>26</v>
      </c>
      <c r="B14" s="3" t="s">
        <v>27</v>
      </c>
      <c r="C14" s="4" t="s">
        <v>52</v>
      </c>
      <c r="D14" s="5">
        <v>3560</v>
      </c>
      <c r="F14" s="1" t="s">
        <v>57</v>
      </c>
      <c r="G14" s="6">
        <f>DMIN(A1:D26,D1,J2:M3)</f>
        <v>2731</v>
      </c>
    </row>
    <row r="15" spans="1:13" x14ac:dyDescent="0.35">
      <c r="A15" s="3" t="s">
        <v>28</v>
      </c>
      <c r="B15" s="3" t="s">
        <v>29</v>
      </c>
      <c r="C15" s="4" t="s">
        <v>48</v>
      </c>
      <c r="D15" s="5">
        <v>2890.5</v>
      </c>
    </row>
    <row r="16" spans="1:13" x14ac:dyDescent="0.35">
      <c r="A16" s="3" t="s">
        <v>30</v>
      </c>
      <c r="B16" s="3" t="s">
        <v>31</v>
      </c>
      <c r="C16" s="4" t="s">
        <v>51</v>
      </c>
      <c r="D16" s="5">
        <v>3854.21</v>
      </c>
    </row>
    <row r="17" spans="1:8" x14ac:dyDescent="0.35">
      <c r="A17" s="3" t="s">
        <v>60</v>
      </c>
      <c r="B17" s="3" t="s">
        <v>32</v>
      </c>
      <c r="C17" s="4" t="s">
        <v>51</v>
      </c>
      <c r="D17" s="5">
        <v>2731</v>
      </c>
    </row>
    <row r="18" spans="1:8" x14ac:dyDescent="0.35">
      <c r="A18" s="3" t="s">
        <v>60</v>
      </c>
      <c r="B18" s="3" t="s">
        <v>33</v>
      </c>
      <c r="C18" s="4" t="s">
        <v>51</v>
      </c>
      <c r="D18" s="5">
        <v>3923</v>
      </c>
    </row>
    <row r="19" spans="1:8" x14ac:dyDescent="0.35">
      <c r="A19" s="3" t="s">
        <v>34</v>
      </c>
      <c r="B19" s="3" t="s">
        <v>35</v>
      </c>
      <c r="C19" s="4" t="s">
        <v>51</v>
      </c>
      <c r="D19" s="5">
        <v>4280</v>
      </c>
    </row>
    <row r="20" spans="1:8" x14ac:dyDescent="0.35">
      <c r="A20" s="3" t="s">
        <v>36</v>
      </c>
      <c r="B20" s="3" t="s">
        <v>13</v>
      </c>
      <c r="C20" s="4" t="s">
        <v>53</v>
      </c>
      <c r="D20" s="5">
        <v>4320</v>
      </c>
      <c r="G20" s="1"/>
      <c r="H20" s="1"/>
    </row>
    <row r="21" spans="1:8" x14ac:dyDescent="0.35">
      <c r="A21" s="3" t="s">
        <v>37</v>
      </c>
      <c r="B21" s="3" t="s">
        <v>38</v>
      </c>
      <c r="C21" s="4" t="s">
        <v>50</v>
      </c>
      <c r="D21" s="5">
        <v>5833</v>
      </c>
    </row>
    <row r="22" spans="1:8" x14ac:dyDescent="0.35">
      <c r="A22" s="3" t="s">
        <v>39</v>
      </c>
      <c r="B22" s="3" t="s">
        <v>25</v>
      </c>
      <c r="C22" s="4" t="s">
        <v>51</v>
      </c>
      <c r="D22" s="5">
        <v>2921.84</v>
      </c>
    </row>
    <row r="23" spans="1:8" x14ac:dyDescent="0.35">
      <c r="A23" s="3" t="s">
        <v>40</v>
      </c>
      <c r="B23" s="3" t="s">
        <v>41</v>
      </c>
      <c r="C23" s="4" t="s">
        <v>51</v>
      </c>
      <c r="D23" s="5">
        <v>3432</v>
      </c>
    </row>
    <row r="24" spans="1:8" x14ac:dyDescent="0.35">
      <c r="A24" s="3" t="s">
        <v>42</v>
      </c>
      <c r="B24" s="3" t="s">
        <v>43</v>
      </c>
      <c r="C24" s="4" t="s">
        <v>48</v>
      </c>
      <c r="D24" s="5">
        <v>3820</v>
      </c>
    </row>
    <row r="25" spans="1:8" x14ac:dyDescent="0.35">
      <c r="A25" s="3" t="s">
        <v>44</v>
      </c>
      <c r="B25" s="3" t="s">
        <v>45</v>
      </c>
      <c r="C25" s="4" t="s">
        <v>48</v>
      </c>
      <c r="D25" s="5">
        <v>3950</v>
      </c>
    </row>
    <row r="26" spans="1:8" x14ac:dyDescent="0.35">
      <c r="A26" s="3" t="s">
        <v>46</v>
      </c>
      <c r="B26" s="3" t="s">
        <v>33</v>
      </c>
      <c r="C26" s="4" t="s">
        <v>53</v>
      </c>
      <c r="D26" s="5">
        <v>3800</v>
      </c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8"/>
  <sheetViews>
    <sheetView tabSelected="1" topLeftCell="A35" zoomScale="48" workbookViewId="0">
      <selection activeCell="F63" sqref="F63"/>
    </sheetView>
  </sheetViews>
  <sheetFormatPr baseColWidth="10" defaultColWidth="11.453125" defaultRowHeight="15.5" x14ac:dyDescent="0.35"/>
  <cols>
    <col min="1" max="19" width="11.453125" style="3"/>
    <col min="20" max="20" width="12" style="3" customWidth="1"/>
    <col min="21" max="16384" width="11.453125" style="3"/>
  </cols>
  <sheetData>
    <row r="1" spans="1:1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14" ht="20" x14ac:dyDescent="0.4">
      <c r="A2" s="3" t="s">
        <v>4</v>
      </c>
      <c r="B2" s="3" t="s">
        <v>5</v>
      </c>
      <c r="C2" s="4" t="s">
        <v>47</v>
      </c>
      <c r="D2" s="5">
        <v>3550</v>
      </c>
      <c r="F2" s="8" t="s">
        <v>58</v>
      </c>
      <c r="N2" s="9" t="s">
        <v>65</v>
      </c>
    </row>
    <row r="3" spans="1:14" x14ac:dyDescent="0.35">
      <c r="A3" s="3" t="s">
        <v>6</v>
      </c>
      <c r="B3" s="3" t="s">
        <v>7</v>
      </c>
      <c r="C3" s="4" t="s">
        <v>48</v>
      </c>
      <c r="D3" s="5">
        <v>3645.94</v>
      </c>
      <c r="F3" s="1" t="s">
        <v>0</v>
      </c>
      <c r="G3" s="1" t="s">
        <v>1</v>
      </c>
      <c r="H3" s="2" t="s">
        <v>2</v>
      </c>
      <c r="I3" s="2" t="s">
        <v>3</v>
      </c>
      <c r="N3" s="3" t="s">
        <v>66</v>
      </c>
    </row>
    <row r="4" spans="1:14" x14ac:dyDescent="0.35">
      <c r="A4" s="3" t="s">
        <v>8</v>
      </c>
      <c r="B4" s="3" t="s">
        <v>9</v>
      </c>
      <c r="C4" s="4" t="s">
        <v>48</v>
      </c>
      <c r="D4" s="5">
        <v>3246.44</v>
      </c>
      <c r="H4" s="3" t="s">
        <v>47</v>
      </c>
      <c r="N4" s="3" t="s">
        <v>69</v>
      </c>
    </row>
    <row r="5" spans="1:14" x14ac:dyDescent="0.35">
      <c r="A5" s="3" t="s">
        <v>10</v>
      </c>
      <c r="B5" s="3" t="s">
        <v>11</v>
      </c>
      <c r="C5" s="4" t="s">
        <v>47</v>
      </c>
      <c r="D5" s="5">
        <v>3842.45</v>
      </c>
    </row>
    <row r="6" spans="1:14" x14ac:dyDescent="0.35">
      <c r="A6" s="3" t="s">
        <v>12</v>
      </c>
      <c r="B6" s="3" t="s">
        <v>13</v>
      </c>
      <c r="C6" s="4" t="s">
        <v>49</v>
      </c>
      <c r="D6" s="5">
        <v>4250</v>
      </c>
      <c r="F6" s="1" t="s">
        <v>0</v>
      </c>
      <c r="G6" s="1" t="s">
        <v>1</v>
      </c>
      <c r="H6" s="2" t="s">
        <v>2</v>
      </c>
      <c r="I6" s="2" t="s">
        <v>3</v>
      </c>
      <c r="N6" s="3" t="s">
        <v>68</v>
      </c>
    </row>
    <row r="7" spans="1:14" x14ac:dyDescent="0.35">
      <c r="A7" s="3" t="s">
        <v>14</v>
      </c>
      <c r="B7" s="3" t="s">
        <v>15</v>
      </c>
      <c r="C7" s="4" t="s">
        <v>49</v>
      </c>
      <c r="D7" s="5">
        <v>4250</v>
      </c>
      <c r="F7" s="3" t="s">
        <v>4</v>
      </c>
      <c r="G7" s="3" t="s">
        <v>5</v>
      </c>
      <c r="H7" s="4" t="s">
        <v>47</v>
      </c>
      <c r="I7" s="5">
        <v>3550</v>
      </c>
      <c r="N7" s="3" t="s">
        <v>70</v>
      </c>
    </row>
    <row r="8" spans="1:14" x14ac:dyDescent="0.35">
      <c r="A8" s="3" t="s">
        <v>16</v>
      </c>
      <c r="B8" s="3" t="s">
        <v>7</v>
      </c>
      <c r="C8" s="4" t="s">
        <v>50</v>
      </c>
      <c r="D8" s="5">
        <v>3856.55</v>
      </c>
      <c r="F8" s="3" t="s">
        <v>10</v>
      </c>
      <c r="G8" s="3" t="s">
        <v>11</v>
      </c>
      <c r="H8" s="4" t="s">
        <v>47</v>
      </c>
      <c r="I8" s="5">
        <v>3842.45</v>
      </c>
    </row>
    <row r="9" spans="1:14" x14ac:dyDescent="0.35">
      <c r="A9" s="3" t="s">
        <v>17</v>
      </c>
      <c r="B9" s="3" t="s">
        <v>18</v>
      </c>
      <c r="C9" s="4" t="s">
        <v>50</v>
      </c>
      <c r="D9" s="5">
        <v>4188.22</v>
      </c>
      <c r="F9" s="3" t="s">
        <v>24</v>
      </c>
      <c r="G9" s="3" t="s">
        <v>25</v>
      </c>
      <c r="H9" s="4" t="s">
        <v>47</v>
      </c>
      <c r="I9" s="5">
        <v>6215</v>
      </c>
      <c r="N9" s="3" t="s">
        <v>67</v>
      </c>
    </row>
    <row r="10" spans="1:14" x14ac:dyDescent="0.35">
      <c r="A10" s="3" t="s">
        <v>19</v>
      </c>
      <c r="B10" s="3" t="s">
        <v>20</v>
      </c>
      <c r="C10" s="4" t="s">
        <v>49</v>
      </c>
      <c r="D10" s="5">
        <v>3428</v>
      </c>
    </row>
    <row r="11" spans="1:14" ht="20" x14ac:dyDescent="0.4">
      <c r="A11" s="3" t="s">
        <v>21</v>
      </c>
      <c r="B11" s="3" t="s">
        <v>22</v>
      </c>
      <c r="C11" s="4" t="s">
        <v>51</v>
      </c>
      <c r="D11" s="5">
        <v>3612</v>
      </c>
      <c r="F11" s="8" t="s">
        <v>64</v>
      </c>
      <c r="N11" s="8" t="s">
        <v>58</v>
      </c>
    </row>
    <row r="12" spans="1:14" x14ac:dyDescent="0.35">
      <c r="A12" s="3" t="s">
        <v>23</v>
      </c>
      <c r="B12" s="3" t="s">
        <v>20</v>
      </c>
      <c r="C12" s="4" t="s">
        <v>51</v>
      </c>
      <c r="D12" s="5">
        <v>3500</v>
      </c>
      <c r="F12" s="1" t="s">
        <v>0</v>
      </c>
      <c r="G12" s="1" t="s">
        <v>1</v>
      </c>
      <c r="H12" s="2" t="s">
        <v>2</v>
      </c>
      <c r="I12" s="2" t="s">
        <v>3</v>
      </c>
    </row>
    <row r="13" spans="1:14" x14ac:dyDescent="0.35">
      <c r="A13" s="3" t="s">
        <v>24</v>
      </c>
      <c r="B13" s="3" t="s">
        <v>25</v>
      </c>
      <c r="C13" s="4" t="s">
        <v>47</v>
      </c>
      <c r="D13" s="5">
        <v>6215</v>
      </c>
      <c r="I13" s="3" t="s">
        <v>73</v>
      </c>
    </row>
    <row r="14" spans="1:14" ht="20" x14ac:dyDescent="0.4">
      <c r="A14" s="3" t="s">
        <v>26</v>
      </c>
      <c r="B14" s="3" t="s">
        <v>27</v>
      </c>
      <c r="C14" s="4" t="s">
        <v>52</v>
      </c>
      <c r="D14" s="5">
        <v>3560</v>
      </c>
      <c r="N14" s="8" t="s">
        <v>64</v>
      </c>
    </row>
    <row r="15" spans="1:14" x14ac:dyDescent="0.35">
      <c r="A15" s="3" t="s">
        <v>28</v>
      </c>
      <c r="B15" s="3" t="s">
        <v>29</v>
      </c>
      <c r="C15" s="4" t="s">
        <v>48</v>
      </c>
      <c r="D15" s="5">
        <v>2890.5</v>
      </c>
      <c r="F15" s="1" t="s">
        <v>0</v>
      </c>
      <c r="G15" s="1" t="s">
        <v>1</v>
      </c>
      <c r="H15" s="2" t="s">
        <v>2</v>
      </c>
      <c r="I15" s="2" t="s">
        <v>3</v>
      </c>
    </row>
    <row r="16" spans="1:14" x14ac:dyDescent="0.35">
      <c r="A16" s="3" t="s">
        <v>30</v>
      </c>
      <c r="B16" s="3" t="s">
        <v>31</v>
      </c>
      <c r="C16" s="4" t="s">
        <v>51</v>
      </c>
      <c r="D16" s="5">
        <v>3854.21</v>
      </c>
      <c r="F16" s="3" t="s">
        <v>24</v>
      </c>
      <c r="G16" s="3" t="s">
        <v>25</v>
      </c>
      <c r="H16" s="4" t="s">
        <v>47</v>
      </c>
      <c r="I16" s="5">
        <v>6215</v>
      </c>
    </row>
    <row r="17" spans="1:14" ht="20" x14ac:dyDescent="0.4">
      <c r="A17" s="3" t="s">
        <v>60</v>
      </c>
      <c r="B17" s="3" t="s">
        <v>32</v>
      </c>
      <c r="C17" s="4" t="s">
        <v>51</v>
      </c>
      <c r="D17" s="5">
        <v>2731</v>
      </c>
      <c r="F17" s="3" t="s">
        <v>37</v>
      </c>
      <c r="G17" s="3" t="s">
        <v>38</v>
      </c>
      <c r="H17" s="4" t="s">
        <v>50</v>
      </c>
      <c r="I17" s="5">
        <v>5833</v>
      </c>
      <c r="N17" s="8" t="s">
        <v>61</v>
      </c>
    </row>
    <row r="18" spans="1:14" x14ac:dyDescent="0.35">
      <c r="A18" s="3" t="s">
        <v>60</v>
      </c>
      <c r="B18" s="3" t="s">
        <v>33</v>
      </c>
      <c r="C18" s="4" t="s">
        <v>51</v>
      </c>
      <c r="D18" s="5">
        <v>3923</v>
      </c>
    </row>
    <row r="19" spans="1:14" ht="20" x14ac:dyDescent="0.4">
      <c r="A19" s="3" t="s">
        <v>34</v>
      </c>
      <c r="B19" s="3" t="s">
        <v>35</v>
      </c>
      <c r="C19" s="4" t="s">
        <v>51</v>
      </c>
      <c r="D19" s="5">
        <v>4280</v>
      </c>
      <c r="F19" s="8" t="s">
        <v>61</v>
      </c>
    </row>
    <row r="20" spans="1:14" ht="20" x14ac:dyDescent="0.4">
      <c r="A20" s="3" t="s">
        <v>36</v>
      </c>
      <c r="B20" s="3" t="s">
        <v>13</v>
      </c>
      <c r="C20" s="4" t="s">
        <v>53</v>
      </c>
      <c r="D20" s="5">
        <v>4320</v>
      </c>
      <c r="F20" s="1" t="s">
        <v>0</v>
      </c>
      <c r="G20" s="1" t="s">
        <v>1</v>
      </c>
      <c r="H20" s="2" t="s">
        <v>2</v>
      </c>
      <c r="I20" s="2" t="s">
        <v>3</v>
      </c>
      <c r="N20" s="8" t="s">
        <v>62</v>
      </c>
    </row>
    <row r="21" spans="1:14" x14ac:dyDescent="0.35">
      <c r="A21" s="3" t="s">
        <v>37</v>
      </c>
      <c r="B21" s="3" t="s">
        <v>38</v>
      </c>
      <c r="C21" s="4" t="s">
        <v>50</v>
      </c>
      <c r="D21" s="5">
        <v>5833</v>
      </c>
      <c r="H21" s="3" t="s">
        <v>47</v>
      </c>
      <c r="I21" s="3" t="s">
        <v>74</v>
      </c>
    </row>
    <row r="22" spans="1:14" x14ac:dyDescent="0.35">
      <c r="A22" s="3" t="s">
        <v>39</v>
      </c>
      <c r="B22" s="3" t="s">
        <v>25</v>
      </c>
      <c r="C22" s="4" t="s">
        <v>51</v>
      </c>
      <c r="D22" s="5">
        <v>2921.84</v>
      </c>
    </row>
    <row r="23" spans="1:14" ht="20" x14ac:dyDescent="0.4">
      <c r="A23" s="3" t="s">
        <v>40</v>
      </c>
      <c r="B23" s="3" t="s">
        <v>41</v>
      </c>
      <c r="C23" s="4" t="s">
        <v>51</v>
      </c>
      <c r="D23" s="5">
        <v>3432</v>
      </c>
      <c r="F23" s="1" t="s">
        <v>0</v>
      </c>
      <c r="G23" s="1" t="s">
        <v>1</v>
      </c>
      <c r="H23" s="2" t="s">
        <v>2</v>
      </c>
      <c r="I23" s="2" t="s">
        <v>3</v>
      </c>
      <c r="N23" s="8" t="s">
        <v>63</v>
      </c>
    </row>
    <row r="24" spans="1:14" x14ac:dyDescent="0.35">
      <c r="A24" s="3" t="s">
        <v>42</v>
      </c>
      <c r="B24" s="3" t="s">
        <v>43</v>
      </c>
      <c r="C24" s="4" t="s">
        <v>48</v>
      </c>
      <c r="D24" s="5">
        <v>3820</v>
      </c>
      <c r="F24" s="3" t="s">
        <v>4</v>
      </c>
      <c r="G24" s="3" t="s">
        <v>5</v>
      </c>
      <c r="H24" s="4" t="s">
        <v>47</v>
      </c>
      <c r="I24" s="5">
        <v>3550</v>
      </c>
    </row>
    <row r="25" spans="1:14" x14ac:dyDescent="0.35">
      <c r="A25" s="3" t="s">
        <v>44</v>
      </c>
      <c r="B25" s="3" t="s">
        <v>45</v>
      </c>
      <c r="C25" s="4" t="s">
        <v>48</v>
      </c>
      <c r="D25" s="5">
        <v>3950</v>
      </c>
      <c r="F25" s="3" t="s">
        <v>10</v>
      </c>
      <c r="G25" s="3" t="s">
        <v>11</v>
      </c>
      <c r="H25" s="4" t="s">
        <v>47</v>
      </c>
      <c r="I25" s="5">
        <v>3842.45</v>
      </c>
    </row>
    <row r="26" spans="1:14" x14ac:dyDescent="0.35">
      <c r="A26" s="3" t="s">
        <v>46</v>
      </c>
      <c r="B26" s="3" t="s">
        <v>33</v>
      </c>
      <c r="C26" s="4" t="s">
        <v>53</v>
      </c>
      <c r="D26" s="5">
        <v>3800</v>
      </c>
    </row>
    <row r="27" spans="1:14" ht="20" x14ac:dyDescent="0.4">
      <c r="F27" s="8" t="s">
        <v>62</v>
      </c>
    </row>
    <row r="28" spans="1:14" x14ac:dyDescent="0.35">
      <c r="F28" s="1" t="s">
        <v>0</v>
      </c>
      <c r="G28" s="1" t="s">
        <v>1</v>
      </c>
      <c r="H28" s="2" t="s">
        <v>2</v>
      </c>
      <c r="I28" s="2" t="s">
        <v>3</v>
      </c>
    </row>
    <row r="29" spans="1:14" x14ac:dyDescent="0.35">
      <c r="H29" s="3" t="s">
        <v>47</v>
      </c>
    </row>
    <row r="30" spans="1:14" x14ac:dyDescent="0.35">
      <c r="I30" s="3" t="s">
        <v>74</v>
      </c>
    </row>
    <row r="32" spans="1:14" x14ac:dyDescent="0.35">
      <c r="F32" s="1" t="s">
        <v>0</v>
      </c>
      <c r="G32" s="1" t="s">
        <v>1</v>
      </c>
      <c r="H32" s="2" t="s">
        <v>2</v>
      </c>
      <c r="I32" s="2" t="s">
        <v>3</v>
      </c>
    </row>
    <row r="33" spans="6:9" x14ac:dyDescent="0.35">
      <c r="F33" s="3" t="s">
        <v>4</v>
      </c>
      <c r="G33" s="3" t="s">
        <v>5</v>
      </c>
      <c r="H33" s="4" t="s">
        <v>47</v>
      </c>
      <c r="I33" s="5">
        <v>3550</v>
      </c>
    </row>
    <row r="34" spans="6:9" x14ac:dyDescent="0.35">
      <c r="F34" s="3" t="s">
        <v>6</v>
      </c>
      <c r="G34" s="3" t="s">
        <v>7</v>
      </c>
      <c r="H34" s="4" t="s">
        <v>48</v>
      </c>
      <c r="I34" s="5">
        <v>3645.94</v>
      </c>
    </row>
    <row r="35" spans="6:9" x14ac:dyDescent="0.35">
      <c r="F35" s="3" t="s">
        <v>8</v>
      </c>
      <c r="G35" s="3" t="s">
        <v>9</v>
      </c>
      <c r="H35" s="4" t="s">
        <v>48</v>
      </c>
      <c r="I35" s="5">
        <v>3246.44</v>
      </c>
    </row>
    <row r="36" spans="6:9" x14ac:dyDescent="0.35">
      <c r="F36" s="3" t="s">
        <v>10</v>
      </c>
      <c r="G36" s="3" t="s">
        <v>11</v>
      </c>
      <c r="H36" s="4" t="s">
        <v>47</v>
      </c>
      <c r="I36" s="5">
        <v>3842.45</v>
      </c>
    </row>
    <row r="37" spans="6:9" x14ac:dyDescent="0.35">
      <c r="F37" s="3" t="s">
        <v>12</v>
      </c>
      <c r="G37" s="3" t="s">
        <v>13</v>
      </c>
      <c r="H37" s="4" t="s">
        <v>49</v>
      </c>
      <c r="I37" s="5">
        <v>4250</v>
      </c>
    </row>
    <row r="38" spans="6:9" x14ac:dyDescent="0.35">
      <c r="F38" s="3" t="s">
        <v>14</v>
      </c>
      <c r="G38" s="3" t="s">
        <v>15</v>
      </c>
      <c r="H38" s="4" t="s">
        <v>49</v>
      </c>
      <c r="I38" s="5">
        <v>4250</v>
      </c>
    </row>
    <row r="39" spans="6:9" x14ac:dyDescent="0.35">
      <c r="F39" s="3" t="s">
        <v>16</v>
      </c>
      <c r="G39" s="3" t="s">
        <v>7</v>
      </c>
      <c r="H39" s="4" t="s">
        <v>50</v>
      </c>
      <c r="I39" s="5">
        <v>3856.55</v>
      </c>
    </row>
    <row r="40" spans="6:9" x14ac:dyDescent="0.35">
      <c r="F40" s="3" t="s">
        <v>17</v>
      </c>
      <c r="G40" s="3" t="s">
        <v>18</v>
      </c>
      <c r="H40" s="4" t="s">
        <v>50</v>
      </c>
      <c r="I40" s="5">
        <v>4188.22</v>
      </c>
    </row>
    <row r="41" spans="6:9" x14ac:dyDescent="0.35">
      <c r="F41" s="3" t="s">
        <v>19</v>
      </c>
      <c r="G41" s="3" t="s">
        <v>20</v>
      </c>
      <c r="H41" s="4" t="s">
        <v>49</v>
      </c>
      <c r="I41" s="5">
        <v>3428</v>
      </c>
    </row>
    <row r="42" spans="6:9" x14ac:dyDescent="0.35">
      <c r="F42" s="3" t="s">
        <v>21</v>
      </c>
      <c r="G42" s="3" t="s">
        <v>22</v>
      </c>
      <c r="H42" s="4" t="s">
        <v>51</v>
      </c>
      <c r="I42" s="5">
        <v>3612</v>
      </c>
    </row>
    <row r="43" spans="6:9" x14ac:dyDescent="0.35">
      <c r="F43" s="3" t="s">
        <v>23</v>
      </c>
      <c r="G43" s="3" t="s">
        <v>20</v>
      </c>
      <c r="H43" s="4" t="s">
        <v>51</v>
      </c>
      <c r="I43" s="5">
        <v>3500</v>
      </c>
    </row>
    <row r="44" spans="6:9" x14ac:dyDescent="0.35">
      <c r="F44" s="3" t="s">
        <v>24</v>
      </c>
      <c r="G44" s="3" t="s">
        <v>25</v>
      </c>
      <c r="H44" s="4" t="s">
        <v>47</v>
      </c>
      <c r="I44" s="5">
        <v>6215</v>
      </c>
    </row>
    <row r="45" spans="6:9" x14ac:dyDescent="0.35">
      <c r="F45" s="3" t="s">
        <v>26</v>
      </c>
      <c r="G45" s="3" t="s">
        <v>27</v>
      </c>
      <c r="H45" s="4" t="s">
        <v>52</v>
      </c>
      <c r="I45" s="5">
        <v>3560</v>
      </c>
    </row>
    <row r="46" spans="6:9" x14ac:dyDescent="0.35">
      <c r="F46" s="3" t="s">
        <v>28</v>
      </c>
      <c r="G46" s="3" t="s">
        <v>29</v>
      </c>
      <c r="H46" s="4" t="s">
        <v>48</v>
      </c>
      <c r="I46" s="5">
        <v>2890.5</v>
      </c>
    </row>
    <row r="47" spans="6:9" x14ac:dyDescent="0.35">
      <c r="F47" s="3" t="s">
        <v>30</v>
      </c>
      <c r="G47" s="3" t="s">
        <v>31</v>
      </c>
      <c r="H47" s="4" t="s">
        <v>51</v>
      </c>
      <c r="I47" s="5">
        <v>3854.21</v>
      </c>
    </row>
    <row r="48" spans="6:9" x14ac:dyDescent="0.35">
      <c r="F48" s="3" t="s">
        <v>60</v>
      </c>
      <c r="G48" s="3" t="s">
        <v>32</v>
      </c>
      <c r="H48" s="4" t="s">
        <v>51</v>
      </c>
      <c r="I48" s="5">
        <v>2731</v>
      </c>
    </row>
    <row r="49" spans="6:9" x14ac:dyDescent="0.35">
      <c r="F49" s="3" t="s">
        <v>60</v>
      </c>
      <c r="G49" s="3" t="s">
        <v>33</v>
      </c>
      <c r="H49" s="4" t="s">
        <v>51</v>
      </c>
      <c r="I49" s="5">
        <v>3923</v>
      </c>
    </row>
    <row r="50" spans="6:9" x14ac:dyDescent="0.35">
      <c r="F50" s="3" t="s">
        <v>34</v>
      </c>
      <c r="G50" s="3" t="s">
        <v>35</v>
      </c>
      <c r="H50" s="4" t="s">
        <v>51</v>
      </c>
      <c r="I50" s="5">
        <v>4280</v>
      </c>
    </row>
    <row r="51" spans="6:9" x14ac:dyDescent="0.35">
      <c r="F51" s="3" t="s">
        <v>36</v>
      </c>
      <c r="G51" s="3" t="s">
        <v>13</v>
      </c>
      <c r="H51" s="4" t="s">
        <v>53</v>
      </c>
      <c r="I51" s="5">
        <v>4320</v>
      </c>
    </row>
    <row r="52" spans="6:9" x14ac:dyDescent="0.35">
      <c r="F52" s="3" t="s">
        <v>39</v>
      </c>
      <c r="G52" s="3" t="s">
        <v>25</v>
      </c>
      <c r="H52" s="4" t="s">
        <v>51</v>
      </c>
      <c r="I52" s="5">
        <v>2921.84</v>
      </c>
    </row>
    <row r="53" spans="6:9" x14ac:dyDescent="0.35">
      <c r="F53" s="3" t="s">
        <v>40</v>
      </c>
      <c r="G53" s="3" t="s">
        <v>41</v>
      </c>
      <c r="H53" s="4" t="s">
        <v>51</v>
      </c>
      <c r="I53" s="5">
        <v>3432</v>
      </c>
    </row>
    <row r="54" spans="6:9" x14ac:dyDescent="0.35">
      <c r="F54" s="3" t="s">
        <v>42</v>
      </c>
      <c r="G54" s="3" t="s">
        <v>43</v>
      </c>
      <c r="H54" s="4" t="s">
        <v>48</v>
      </c>
      <c r="I54" s="5">
        <v>3820</v>
      </c>
    </row>
    <row r="55" spans="6:9" x14ac:dyDescent="0.35">
      <c r="F55" s="3" t="s">
        <v>44</v>
      </c>
      <c r="G55" s="3" t="s">
        <v>45</v>
      </c>
      <c r="H55" s="4" t="s">
        <v>48</v>
      </c>
      <c r="I55" s="5">
        <v>3950</v>
      </c>
    </row>
    <row r="56" spans="6:9" x14ac:dyDescent="0.35">
      <c r="F56" s="3" t="s">
        <v>46</v>
      </c>
      <c r="G56" s="3" t="s">
        <v>33</v>
      </c>
      <c r="H56" s="4" t="s">
        <v>53</v>
      </c>
      <c r="I56" s="5">
        <v>3800</v>
      </c>
    </row>
    <row r="58" spans="6:9" ht="20" x14ac:dyDescent="0.4">
      <c r="F58" s="8" t="s">
        <v>63</v>
      </c>
    </row>
    <row r="59" spans="6:9" x14ac:dyDescent="0.35">
      <c r="F59" s="1" t="s">
        <v>0</v>
      </c>
      <c r="G59" s="1" t="s">
        <v>1</v>
      </c>
      <c r="H59" s="2" t="s">
        <v>2</v>
      </c>
      <c r="I59" s="2" t="s">
        <v>3</v>
      </c>
    </row>
    <row r="60" spans="6:9" x14ac:dyDescent="0.35">
      <c r="H60" s="3" t="s">
        <v>47</v>
      </c>
    </row>
    <row r="61" spans="6:9" x14ac:dyDescent="0.35">
      <c r="H61" s="3" t="s">
        <v>53</v>
      </c>
    </row>
    <row r="63" spans="6:9" x14ac:dyDescent="0.35">
      <c r="F63" s="1" t="s">
        <v>0</v>
      </c>
      <c r="G63" s="1" t="s">
        <v>1</v>
      </c>
      <c r="H63" s="2" t="s">
        <v>2</v>
      </c>
      <c r="I63" s="2" t="s">
        <v>3</v>
      </c>
    </row>
    <row r="64" spans="6:9" x14ac:dyDescent="0.35">
      <c r="F64" s="3" t="s">
        <v>4</v>
      </c>
      <c r="G64" s="3" t="s">
        <v>5</v>
      </c>
      <c r="H64" s="4" t="s">
        <v>47</v>
      </c>
      <c r="I64" s="5">
        <v>3550</v>
      </c>
    </row>
    <row r="65" spans="6:9" x14ac:dyDescent="0.35">
      <c r="F65" s="3" t="s">
        <v>10</v>
      </c>
      <c r="G65" s="3" t="s">
        <v>11</v>
      </c>
      <c r="H65" s="4" t="s">
        <v>47</v>
      </c>
      <c r="I65" s="5">
        <v>3842.45</v>
      </c>
    </row>
    <row r="66" spans="6:9" x14ac:dyDescent="0.35">
      <c r="F66" s="3" t="s">
        <v>24</v>
      </c>
      <c r="G66" s="3" t="s">
        <v>25</v>
      </c>
      <c r="H66" s="4" t="s">
        <v>47</v>
      </c>
      <c r="I66" s="5">
        <v>6215</v>
      </c>
    </row>
    <row r="67" spans="6:9" x14ac:dyDescent="0.35">
      <c r="F67" s="3" t="s">
        <v>36</v>
      </c>
      <c r="G67" s="3" t="s">
        <v>13</v>
      </c>
      <c r="H67" s="4" t="s">
        <v>53</v>
      </c>
      <c r="I67" s="5">
        <v>4320</v>
      </c>
    </row>
    <row r="68" spans="6:9" x14ac:dyDescent="0.35">
      <c r="F68" s="3" t="s">
        <v>46</v>
      </c>
      <c r="G68" s="3" t="s">
        <v>33</v>
      </c>
      <c r="H68" s="4" t="s">
        <v>53</v>
      </c>
      <c r="I68" s="5">
        <v>3800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2</vt:i4>
      </vt:variant>
    </vt:vector>
  </HeadingPairs>
  <TitlesOfParts>
    <vt:vector size="4" baseType="lpstr">
      <vt:lpstr>Datenbankfunktionen</vt:lpstr>
      <vt:lpstr>Spezialfilter</vt:lpstr>
      <vt:lpstr>Spezialfilter!Suchkriterien</vt:lpstr>
      <vt:lpstr>Spezialfilter!Zielbereich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Harald</dc:creator>
  <cp:lastModifiedBy>Pichler Matthias</cp:lastModifiedBy>
  <dcterms:created xsi:type="dcterms:W3CDTF">2003-10-13T23:10:25Z</dcterms:created>
  <dcterms:modified xsi:type="dcterms:W3CDTF">2025-10-22T13:04:18Z</dcterms:modified>
</cp:coreProperties>
</file>