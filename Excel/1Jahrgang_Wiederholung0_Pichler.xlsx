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Schule\Infi excel\"/>
    </mc:Choice>
  </mc:AlternateContent>
  <xr:revisionPtr revIDLastSave="0" documentId="8_{FEC74C50-31B0-49D2-8F17-12C09ED3DE9B}" xr6:coauthVersionLast="47" xr6:coauthVersionMax="47" xr10:uidLastSave="{00000000-0000-0000-0000-000000000000}"/>
  <bookViews>
    <workbookView xWindow="-110" yWindow="-110" windowWidth="19420" windowHeight="11500" firstSheet="3" activeTab="8" xr2:uid="{9B0A0602-8CFE-4135-A27A-BE2073A0D6F5}"/>
  </bookViews>
  <sheets>
    <sheet name="Berechnungen" sheetId="1" r:id="rId1"/>
    <sheet name="Berechnungen II" sheetId="2" r:id="rId2"/>
    <sheet name="Zellbezug" sheetId="3" r:id="rId3"/>
    <sheet name="Zellbezug Info" sheetId="4" r:id="rId4"/>
    <sheet name="Funktionen" sheetId="5" r:id="rId5"/>
    <sheet name="Bezüge" sheetId="6" r:id="rId6"/>
    <sheet name="Bezüge II" sheetId="7" r:id="rId7"/>
    <sheet name="Bezüge III" sheetId="9" r:id="rId8"/>
    <sheet name="Diagramm"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9" l="1"/>
  <c r="A7" i="9"/>
  <c r="A13" i="9"/>
  <c r="B16" i="7"/>
  <c r="A4" i="9"/>
  <c r="D17" i="7"/>
  <c r="D18" i="7"/>
  <c r="D19" i="7"/>
  <c r="D16" i="7"/>
  <c r="B17" i="7"/>
  <c r="B18" i="7"/>
  <c r="B19" i="7"/>
  <c r="B11" i="7"/>
  <c r="B12" i="7"/>
  <c r="B13" i="7"/>
  <c r="B10" i="7"/>
  <c r="C11" i="7"/>
  <c r="C12" i="7"/>
  <c r="C13" i="7"/>
  <c r="C10" i="7"/>
  <c r="D5" i="7"/>
  <c r="D6" i="7"/>
  <c r="D7" i="7"/>
  <c r="D4" i="7"/>
  <c r="C5" i="7"/>
  <c r="C6" i="7"/>
  <c r="C7" i="7"/>
  <c r="C4" i="7"/>
  <c r="C5" i="6"/>
  <c r="C6" i="6"/>
  <c r="C7" i="6"/>
  <c r="C8" i="6"/>
  <c r="C9" i="6"/>
  <c r="D9" i="6" s="1"/>
  <c r="C4" i="6"/>
  <c r="D4" i="6" s="1"/>
  <c r="D5" i="6"/>
  <c r="D6" i="6"/>
  <c r="D7" i="6"/>
  <c r="D8" i="6"/>
  <c r="B8" i="3"/>
  <c r="B7" i="3"/>
  <c r="B6" i="3"/>
  <c r="B5" i="3"/>
  <c r="B4" i="3"/>
  <c r="G11" i="5"/>
  <c r="G10" i="5"/>
  <c r="G9" i="5"/>
  <c r="G7" i="5"/>
  <c r="G6" i="5"/>
  <c r="G5" i="5"/>
  <c r="G4" i="5"/>
  <c r="D20" i="2"/>
  <c r="D21" i="2"/>
  <c r="D22" i="2"/>
  <c r="D23" i="2"/>
  <c r="D24" i="2"/>
  <c r="D25" i="2"/>
  <c r="D26" i="2"/>
  <c r="D27" i="2"/>
  <c r="D28" i="2"/>
  <c r="D29" i="2"/>
  <c r="D30" i="2"/>
  <c r="D31" i="2"/>
  <c r="D32" i="2"/>
  <c r="D33" i="2"/>
  <c r="D34" i="2"/>
  <c r="D35" i="2"/>
  <c r="D5" i="2"/>
  <c r="D6" i="2"/>
  <c r="D7" i="2"/>
  <c r="D8" i="2"/>
  <c r="D9" i="2"/>
  <c r="D10" i="2"/>
  <c r="D11" i="2"/>
  <c r="D12" i="2"/>
  <c r="D13" i="2"/>
  <c r="D14" i="2"/>
  <c r="D15" i="2"/>
  <c r="D16" i="2"/>
  <c r="D17" i="2"/>
  <c r="D18" i="2"/>
  <c r="D19" i="2"/>
  <c r="E17" i="1"/>
  <c r="E13" i="1"/>
  <c r="E9" i="1"/>
  <c r="E5" i="1"/>
  <c r="C11" i="8"/>
  <c r="D11" i="8"/>
  <c r="B11" i="8"/>
</calcChain>
</file>

<file path=xl/sharedStrings.xml><?xml version="1.0" encoding="utf-8"?>
<sst xmlns="http://schemas.openxmlformats.org/spreadsheetml/2006/main" count="109" uniqueCount="74">
  <si>
    <t>Addition</t>
  </si>
  <si>
    <t>Zahl1</t>
  </si>
  <si>
    <t>Zahl2</t>
  </si>
  <si>
    <t>Zahl3</t>
  </si>
  <si>
    <t>Ergebnis</t>
  </si>
  <si>
    <t>Subtraktion</t>
  </si>
  <si>
    <t>Division</t>
  </si>
  <si>
    <t>Multiplikation</t>
  </si>
  <si>
    <t>Führen Sie folgende Berechnungen durch.</t>
  </si>
  <si>
    <t>Fahrer1</t>
  </si>
  <si>
    <t>Fahrer2</t>
  </si>
  <si>
    <t>Fahrer3</t>
  </si>
  <si>
    <t>Fahrer</t>
  </si>
  <si>
    <t>Auto</t>
  </si>
  <si>
    <t>Koenigsegg Agera S</t>
  </si>
  <si>
    <t>Audi A8 L</t>
  </si>
  <si>
    <t>Cadillac Escalade</t>
  </si>
  <si>
    <t>Holen Sie sich die jeweiligen Autos zu den Fahrern aus dem nächsten Tabellenblatt mit Hilfe des Zellbezugs.</t>
  </si>
  <si>
    <t>Berechnen Sie die Summe, das Minimum, das Maximum und den Mittelwert. Runden Sie das Eis dementsprechend.</t>
  </si>
  <si>
    <t>Produkte</t>
  </si>
  <si>
    <t>Preis</t>
  </si>
  <si>
    <t>Backpulver</t>
  </si>
  <si>
    <t>Eis</t>
  </si>
  <si>
    <t>Snack Gurken</t>
  </si>
  <si>
    <t>Schokolade</t>
  </si>
  <si>
    <t>Brot</t>
  </si>
  <si>
    <t>Summe</t>
  </si>
  <si>
    <t>Min</t>
  </si>
  <si>
    <t>Max</t>
  </si>
  <si>
    <t>Mittelwert</t>
  </si>
  <si>
    <t>Runden Eis - 1 Stelle</t>
  </si>
  <si>
    <t>Aufrunden Eis - 2 Stellen</t>
  </si>
  <si>
    <t>Abrunden Eis - 0 Stellen</t>
  </si>
  <si>
    <t>Typ</t>
  </si>
  <si>
    <t>BIO 52 VZ</t>
  </si>
  <si>
    <t>BIO 53 VZ</t>
  </si>
  <si>
    <t>BIO 55 VZ</t>
  </si>
  <si>
    <t>CIO 22 BZ</t>
  </si>
  <si>
    <t>CIO 23 BZ</t>
  </si>
  <si>
    <t>CIO 24 BZ</t>
  </si>
  <si>
    <t>Anzahl Flaschen</t>
  </si>
  <si>
    <t>Anzahl Kisten</t>
  </si>
  <si>
    <t>1 Kiste</t>
  </si>
  <si>
    <t>Steuer</t>
  </si>
  <si>
    <t>Produkt A</t>
  </si>
  <si>
    <t>Produkt - 20 %</t>
  </si>
  <si>
    <t>Netto</t>
  </si>
  <si>
    <t>MWSt</t>
  </si>
  <si>
    <t>Brutto</t>
  </si>
  <si>
    <t>Produkt B</t>
  </si>
  <si>
    <t>Produkt C</t>
  </si>
  <si>
    <t>Produkt D</t>
  </si>
  <si>
    <t>Produkt - 10 %</t>
  </si>
  <si>
    <t>Produkt - 13 %</t>
  </si>
  <si>
    <t>Berechnen Sie die jeweiligen fehlenden Felder. Arbeiten Sie mit Zellbezügen.</t>
  </si>
  <si>
    <t>Gästeübernachtungen</t>
  </si>
  <si>
    <t>Hotel Post</t>
  </si>
  <si>
    <t>Hotel Adler</t>
  </si>
  <si>
    <t>Alpenblick</t>
  </si>
  <si>
    <t>Österreich</t>
  </si>
  <si>
    <t>Deutschland</t>
  </si>
  <si>
    <t>Nationen</t>
  </si>
  <si>
    <t>Amerika</t>
  </si>
  <si>
    <t>Italien</t>
  </si>
  <si>
    <t>Frankreich</t>
  </si>
  <si>
    <t>Holland</t>
  </si>
  <si>
    <t>Gesamt</t>
  </si>
  <si>
    <t>1.) Erstellen Sie ein Diagramm, das alle drei Hotels sowie alle Nationen zeigt. 
2.) Erstellen Sie ein Diagramm, das nur das Hotel Adler sowie die Nationen zeigt.
3.) Erstellen Sie ein Diagramm, das nur Hotel Alpenblick sowie die Nationen zeigt.
Formatieren Sie die Diagramme nach Belieben und geben jedem einen TITEL.</t>
  </si>
  <si>
    <t>Sie brauchen 60% von 300 Gramm Mehl.</t>
  </si>
  <si>
    <t>Von 150 Gramm Zucker sollen nur 24 Gramm in den Teig. Wieviel Prozent 
sind das?</t>
  </si>
  <si>
    <t>100 Gramm Brot haben 352 Kalorien. Sie essen jedoch 245 Gramm. Wieviele Kalorien haben Sie zu sich genommen?</t>
  </si>
  <si>
    <t>Eine Handyhülle kostet € 9,99 brutto. Berechnen Sie den Nettobetrag. Steuersatz 20%</t>
  </si>
  <si>
    <t>Berechnen Sie Anzahl der Kisten (6 Flaschen passen maximal in eine Kiste). Auf das Runden nicht vergessen, da auch eine Kiste mit 4 Flaschen vergeben werden kann. 
Berechnen Sie den Preis. Arbeiten Sie mit Zellbezügen.</t>
  </si>
  <si>
    <t xml:space="preserve">Berechnen Sie die jeweiligen fehlenden Felder. Berechnen Sie das Ergebnis 
direkt im pinken Feld.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</si>
</sst>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 #,##0.00\ &quot;€&quot;_-;\-* #,##0.00\ &quot;€&quot;_-;_-* &quot;-&quot;??\ &quot;€&quot;_-;_-@_-"/>
    <numFmt numFmtId="166" formatCode="_-* #,##0.0\ &quot;€&quot;_-;\-* #,##0.0\ &quot;€&quot;_-;_-* &quot;-&quot;??\ &quot;€&quot;_-;_-@_-"/>
    <numFmt numFmtId="167" formatCode="_-* #,##0\ &quot;€&quot;_-;\-* #,##0\ &quot;€&quot;_-;_-* &quot;-&quot;??\ &quot;€&quot;_-;_-@_-"/>
  </numFmts>
  <fonts count="7" x14ac:knownFonts="1">
    <font>
      <sz val="11"/>
      <color theme="1"/>
      <name val="Calibri"/>
      <family val="2"/>
      <scheme val="minor"/>
    </font>
    <font>
      <sz val="11"/>
      <color theme="1"/>
      <name val="Calibri"/>
      <family val="2"/>
      <scheme val="minor"/>
    </font>
    <font>
      <sz val="12"/>
      <color theme="1"/>
      <name val="Times New Roman"/>
      <family val="1"/>
    </font>
    <font>
      <sz val="12"/>
      <name val="Times New Roman"/>
      <family val="1"/>
    </font>
    <font>
      <b/>
      <sz val="12"/>
      <color theme="0"/>
      <name val="Times New Roman"/>
      <family val="1"/>
    </font>
    <font>
      <b/>
      <sz val="12"/>
      <color theme="1"/>
      <name val="Times New Roman"/>
      <family val="1"/>
    </font>
    <font>
      <b/>
      <sz val="14"/>
      <color theme="0"/>
      <name val="Times New Roman"/>
      <family val="1"/>
    </font>
  </fonts>
  <fills count="9">
    <fill>
      <patternFill patternType="none"/>
    </fill>
    <fill>
      <patternFill patternType="gray125"/>
    </fill>
    <fill>
      <patternFill patternType="lightUp">
        <fgColor theme="9" tint="0.39994506668294322"/>
        <bgColor indexed="65"/>
      </patternFill>
    </fill>
    <fill>
      <patternFill patternType="solid">
        <fgColor theme="9" tint="-0.249977111117893"/>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rgb="FFCC0099"/>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3" borderId="0" xfId="0" applyFont="1" applyFill="1"/>
    <xf numFmtId="0" fontId="2" fillId="4" borderId="1" xfId="0" applyFont="1" applyFill="1" applyBorder="1"/>
    <xf numFmtId="0" fontId="2" fillId="0" borderId="0" xfId="0" applyFont="1" applyAlignment="1">
      <alignment horizontal="center" vertical="center"/>
    </xf>
    <xf numFmtId="0" fontId="2" fillId="0" borderId="2" xfId="0" applyFont="1" applyBorder="1"/>
    <xf numFmtId="0" fontId="2" fillId="0" borderId="3" xfId="0" applyFont="1" applyBorder="1"/>
    <xf numFmtId="0" fontId="5" fillId="5" borderId="2" xfId="0" applyFont="1" applyFill="1" applyBorder="1" applyAlignment="1">
      <alignment horizontal="center"/>
    </xf>
    <xf numFmtId="0" fontId="5" fillId="5" borderId="3" xfId="0" applyFont="1" applyFill="1" applyBorder="1" applyAlignment="1">
      <alignment horizontal="center"/>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164" fontId="2" fillId="0" borderId="0" xfId="1" applyFont="1" applyAlignment="1">
      <alignment horizontal="center"/>
    </xf>
    <xf numFmtId="164" fontId="2" fillId="0" borderId="0" xfId="1" applyFont="1"/>
    <xf numFmtId="164" fontId="2" fillId="0" borderId="4" xfId="1" applyFont="1" applyBorder="1"/>
    <xf numFmtId="9" fontId="2" fillId="0" borderId="4" xfId="1" applyNumberFormat="1" applyFont="1" applyBorder="1"/>
    <xf numFmtId="0" fontId="5" fillId="5" borderId="4" xfId="0" applyFont="1" applyFill="1" applyBorder="1" applyAlignment="1">
      <alignment horizontal="center"/>
    </xf>
    <xf numFmtId="0" fontId="4" fillId="7" borderId="4" xfId="0" applyFont="1" applyFill="1" applyBorder="1"/>
    <xf numFmtId="9" fontId="2" fillId="0" borderId="4" xfId="0" applyNumberFormat="1" applyFont="1" applyBorder="1"/>
    <xf numFmtId="0" fontId="2" fillId="0" borderId="11" xfId="0" applyFont="1" applyBorder="1"/>
    <xf numFmtId="0" fontId="4" fillId="8" borderId="0" xfId="0" applyFont="1" applyFill="1"/>
    <xf numFmtId="0" fontId="2" fillId="8" borderId="1" xfId="0" applyFont="1" applyFill="1" applyBorder="1"/>
    <xf numFmtId="0" fontId="3" fillId="2" borderId="0" xfId="0" applyFont="1" applyFill="1" applyAlignment="1">
      <alignment horizontal="left"/>
    </xf>
    <xf numFmtId="0" fontId="3" fillId="2" borderId="0" xfId="0" applyFont="1" applyFill="1" applyAlignment="1">
      <alignment horizontal="left" wrapText="1"/>
    </xf>
    <xf numFmtId="0" fontId="2" fillId="0" borderId="0" xfId="0" applyFont="1" applyAlignment="1">
      <alignment horizontal="left"/>
    </xf>
    <xf numFmtId="0" fontId="2" fillId="0" borderId="0" xfId="0" applyFont="1" applyAlignment="1">
      <alignment horizontal="left" wrapText="1"/>
    </xf>
    <xf numFmtId="0" fontId="6" fillId="7" borderId="0" xfId="0" applyFont="1" applyFill="1" applyAlignment="1">
      <alignment horizontal="center"/>
    </xf>
    <xf numFmtId="164" fontId="2" fillId="6" borderId="4" xfId="0" applyNumberFormat="1" applyFont="1" applyFill="1" applyBorder="1"/>
    <xf numFmtId="166" fontId="2" fillId="6" borderId="4" xfId="0" applyNumberFormat="1" applyFont="1" applyFill="1" applyBorder="1"/>
    <xf numFmtId="167" fontId="2" fillId="6" borderId="4" xfId="0" applyNumberFormat="1" applyFont="1" applyFill="1" applyBorder="1"/>
    <xf numFmtId="44" fontId="2" fillId="0" borderId="4" xfId="0" applyNumberFormat="1" applyFont="1" applyBorder="1"/>
    <xf numFmtId="164" fontId="2" fillId="0" borderId="4" xfId="0" applyNumberFormat="1" applyFont="1" applyBorder="1"/>
    <xf numFmtId="9" fontId="2" fillId="8" borderId="1" xfId="2" applyFont="1" applyFill="1" applyBorder="1"/>
  </cellXfs>
  <cellStyles count="3">
    <cellStyle name="Prozent" xfId="2" builtinId="5"/>
    <cellStyle name="Standard" xfId="0" builtinId="0"/>
    <cellStyle name="Währung" xfId="1" builtinId="4"/>
  </cellStyles>
  <dxfs count="0"/>
  <tableStyles count="0" defaultTableStyle="TableStyleMedium2" defaultPivotStyle="PivotStyleLight16"/>
  <colors>
    <mruColors>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Diagramm!$C$4</c:f>
              <c:strCache>
                <c:ptCount val="1"/>
                <c:pt idx="0">
                  <c:v>Hotel Adler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Diagramm!$A$5:$A$10</c:f>
              <c:strCache>
                <c:ptCount val="6"/>
                <c:pt idx="0">
                  <c:v>Österreich</c:v>
                </c:pt>
                <c:pt idx="1">
                  <c:v>Deutschland</c:v>
                </c:pt>
                <c:pt idx="2">
                  <c:v>Amerika</c:v>
                </c:pt>
                <c:pt idx="3">
                  <c:v>Italien</c:v>
                </c:pt>
                <c:pt idx="4">
                  <c:v>Frankreich</c:v>
                </c:pt>
                <c:pt idx="5">
                  <c:v>Holland</c:v>
                </c:pt>
              </c:strCache>
            </c:strRef>
          </c:cat>
          <c:val>
            <c:numRef>
              <c:f>Diagramm!$C$5:$C$10</c:f>
              <c:numCache>
                <c:formatCode>General</c:formatCode>
                <c:ptCount val="6"/>
                <c:pt idx="0">
                  <c:v>7290</c:v>
                </c:pt>
                <c:pt idx="1">
                  <c:v>4867</c:v>
                </c:pt>
                <c:pt idx="2">
                  <c:v>542</c:v>
                </c:pt>
                <c:pt idx="3">
                  <c:v>634</c:v>
                </c:pt>
                <c:pt idx="4">
                  <c:v>469</c:v>
                </c:pt>
                <c:pt idx="5">
                  <c:v>712</c:v>
                </c:pt>
              </c:numCache>
            </c:numRef>
          </c:val>
          <c:extLst>
            <c:ext xmlns:c16="http://schemas.microsoft.com/office/drawing/2014/chart" uri="{C3380CC4-5D6E-409C-BE32-E72D297353CC}">
              <c16:uniqueId val="{00000000-A35D-40CD-8F15-C935226AECB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Diagramm!$D$4</c:f>
              <c:strCache>
                <c:ptCount val="1"/>
                <c:pt idx="0">
                  <c:v>Alpenblick</c:v>
                </c:pt>
              </c:strCache>
            </c:strRef>
          </c:tx>
          <c:spPr>
            <a:solidFill>
              <a:schemeClr val="accent1"/>
            </a:solidFill>
            <a:ln>
              <a:noFill/>
            </a:ln>
            <a:effectLst/>
          </c:spPr>
          <c:invertIfNegative val="0"/>
          <c:cat>
            <c:strRef>
              <c:f>Diagramm!$A$5:$A$10</c:f>
              <c:strCache>
                <c:ptCount val="6"/>
                <c:pt idx="0">
                  <c:v>Österreich</c:v>
                </c:pt>
                <c:pt idx="1">
                  <c:v>Deutschland</c:v>
                </c:pt>
                <c:pt idx="2">
                  <c:v>Amerika</c:v>
                </c:pt>
                <c:pt idx="3">
                  <c:v>Italien</c:v>
                </c:pt>
                <c:pt idx="4">
                  <c:v>Frankreich</c:v>
                </c:pt>
                <c:pt idx="5">
                  <c:v>Holland</c:v>
                </c:pt>
              </c:strCache>
            </c:strRef>
          </c:cat>
          <c:val>
            <c:numRef>
              <c:f>Diagramm!$D$5:$D$10</c:f>
              <c:numCache>
                <c:formatCode>General</c:formatCode>
                <c:ptCount val="6"/>
                <c:pt idx="0">
                  <c:v>1911</c:v>
                </c:pt>
                <c:pt idx="1">
                  <c:v>326</c:v>
                </c:pt>
                <c:pt idx="2">
                  <c:v>78</c:v>
                </c:pt>
                <c:pt idx="3">
                  <c:v>160</c:v>
                </c:pt>
                <c:pt idx="4">
                  <c:v>52</c:v>
                </c:pt>
                <c:pt idx="5">
                  <c:v>144</c:v>
                </c:pt>
              </c:numCache>
            </c:numRef>
          </c:val>
          <c:extLst>
            <c:ext xmlns:c16="http://schemas.microsoft.com/office/drawing/2014/chart" uri="{C3380CC4-5D6E-409C-BE32-E72D297353CC}">
              <c16:uniqueId val="{00000000-6825-4ED8-B5B0-A43149E6148F}"/>
            </c:ext>
          </c:extLst>
        </c:ser>
        <c:dLbls>
          <c:showLegendKey val="0"/>
          <c:showVal val="0"/>
          <c:showCatName val="0"/>
          <c:showSerName val="0"/>
          <c:showPercent val="0"/>
          <c:showBubbleSize val="0"/>
        </c:dLbls>
        <c:gapWidth val="219"/>
        <c:overlap val="-27"/>
        <c:axId val="82452352"/>
        <c:axId val="82455712"/>
      </c:barChart>
      <c:catAx>
        <c:axId val="8245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2455712"/>
        <c:crosses val="autoZero"/>
        <c:auto val="1"/>
        <c:lblAlgn val="ctr"/>
        <c:lblOffset val="100"/>
        <c:noMultiLvlLbl val="0"/>
      </c:catAx>
      <c:valAx>
        <c:axId val="8245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2452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t>Alle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Diagramm!$B$4</c:f>
              <c:strCache>
                <c:ptCount val="1"/>
                <c:pt idx="0">
                  <c:v>Hotel Post</c:v>
                </c:pt>
              </c:strCache>
            </c:strRef>
          </c:tx>
          <c:spPr>
            <a:solidFill>
              <a:schemeClr val="accent1"/>
            </a:solidFill>
            <a:ln>
              <a:noFill/>
            </a:ln>
            <a:effectLst/>
          </c:spPr>
          <c:invertIfNegative val="0"/>
          <c:cat>
            <c:strRef>
              <c:f>Diagramm!$A$5:$A$10</c:f>
              <c:strCache>
                <c:ptCount val="6"/>
                <c:pt idx="0">
                  <c:v>Österreich</c:v>
                </c:pt>
                <c:pt idx="1">
                  <c:v>Deutschland</c:v>
                </c:pt>
                <c:pt idx="2">
                  <c:v>Amerika</c:v>
                </c:pt>
                <c:pt idx="3">
                  <c:v>Italien</c:v>
                </c:pt>
                <c:pt idx="4">
                  <c:v>Frankreich</c:v>
                </c:pt>
                <c:pt idx="5">
                  <c:v>Holland</c:v>
                </c:pt>
              </c:strCache>
            </c:strRef>
          </c:cat>
          <c:val>
            <c:numRef>
              <c:f>Diagramm!$B$5:$B$10</c:f>
              <c:numCache>
                <c:formatCode>General</c:formatCode>
                <c:ptCount val="6"/>
                <c:pt idx="0">
                  <c:v>6500</c:v>
                </c:pt>
                <c:pt idx="1">
                  <c:v>12355</c:v>
                </c:pt>
                <c:pt idx="2">
                  <c:v>1323</c:v>
                </c:pt>
                <c:pt idx="3">
                  <c:v>2149</c:v>
                </c:pt>
                <c:pt idx="4">
                  <c:v>2068</c:v>
                </c:pt>
                <c:pt idx="5">
                  <c:v>521</c:v>
                </c:pt>
              </c:numCache>
            </c:numRef>
          </c:val>
          <c:extLst>
            <c:ext xmlns:c16="http://schemas.microsoft.com/office/drawing/2014/chart" uri="{C3380CC4-5D6E-409C-BE32-E72D297353CC}">
              <c16:uniqueId val="{00000000-46C5-4BE4-BA9E-1E6871B843B2}"/>
            </c:ext>
          </c:extLst>
        </c:ser>
        <c:ser>
          <c:idx val="1"/>
          <c:order val="1"/>
          <c:tx>
            <c:strRef>
              <c:f>Diagramm!$C$4</c:f>
              <c:strCache>
                <c:ptCount val="1"/>
                <c:pt idx="0">
                  <c:v>Hotel Adler</c:v>
                </c:pt>
              </c:strCache>
            </c:strRef>
          </c:tx>
          <c:spPr>
            <a:solidFill>
              <a:schemeClr val="accent2"/>
            </a:solidFill>
            <a:ln>
              <a:noFill/>
            </a:ln>
            <a:effectLst/>
          </c:spPr>
          <c:invertIfNegative val="0"/>
          <c:cat>
            <c:strRef>
              <c:f>Diagramm!$A$5:$A$10</c:f>
              <c:strCache>
                <c:ptCount val="6"/>
                <c:pt idx="0">
                  <c:v>Österreich</c:v>
                </c:pt>
                <c:pt idx="1">
                  <c:v>Deutschland</c:v>
                </c:pt>
                <c:pt idx="2">
                  <c:v>Amerika</c:v>
                </c:pt>
                <c:pt idx="3">
                  <c:v>Italien</c:v>
                </c:pt>
                <c:pt idx="4">
                  <c:v>Frankreich</c:v>
                </c:pt>
                <c:pt idx="5">
                  <c:v>Holland</c:v>
                </c:pt>
              </c:strCache>
            </c:strRef>
          </c:cat>
          <c:val>
            <c:numRef>
              <c:f>Diagramm!$C$5:$C$10</c:f>
              <c:numCache>
                <c:formatCode>General</c:formatCode>
                <c:ptCount val="6"/>
                <c:pt idx="0">
                  <c:v>7290</c:v>
                </c:pt>
                <c:pt idx="1">
                  <c:v>4867</c:v>
                </c:pt>
                <c:pt idx="2">
                  <c:v>542</c:v>
                </c:pt>
                <c:pt idx="3">
                  <c:v>634</c:v>
                </c:pt>
                <c:pt idx="4">
                  <c:v>469</c:v>
                </c:pt>
                <c:pt idx="5">
                  <c:v>712</c:v>
                </c:pt>
              </c:numCache>
            </c:numRef>
          </c:val>
          <c:extLst>
            <c:ext xmlns:c16="http://schemas.microsoft.com/office/drawing/2014/chart" uri="{C3380CC4-5D6E-409C-BE32-E72D297353CC}">
              <c16:uniqueId val="{00000001-46C5-4BE4-BA9E-1E6871B843B2}"/>
            </c:ext>
          </c:extLst>
        </c:ser>
        <c:ser>
          <c:idx val="2"/>
          <c:order val="2"/>
          <c:tx>
            <c:strRef>
              <c:f>Diagramm!$D$4</c:f>
              <c:strCache>
                <c:ptCount val="1"/>
                <c:pt idx="0">
                  <c:v>Alpenblick</c:v>
                </c:pt>
              </c:strCache>
            </c:strRef>
          </c:tx>
          <c:spPr>
            <a:solidFill>
              <a:schemeClr val="accent3"/>
            </a:solidFill>
            <a:ln>
              <a:noFill/>
            </a:ln>
            <a:effectLst/>
          </c:spPr>
          <c:invertIfNegative val="0"/>
          <c:cat>
            <c:strRef>
              <c:f>Diagramm!$A$5:$A$10</c:f>
              <c:strCache>
                <c:ptCount val="6"/>
                <c:pt idx="0">
                  <c:v>Österreich</c:v>
                </c:pt>
                <c:pt idx="1">
                  <c:v>Deutschland</c:v>
                </c:pt>
                <c:pt idx="2">
                  <c:v>Amerika</c:v>
                </c:pt>
                <c:pt idx="3">
                  <c:v>Italien</c:v>
                </c:pt>
                <c:pt idx="4">
                  <c:v>Frankreich</c:v>
                </c:pt>
                <c:pt idx="5">
                  <c:v>Holland</c:v>
                </c:pt>
              </c:strCache>
            </c:strRef>
          </c:cat>
          <c:val>
            <c:numRef>
              <c:f>Diagramm!$D$5:$D$10</c:f>
              <c:numCache>
                <c:formatCode>General</c:formatCode>
                <c:ptCount val="6"/>
                <c:pt idx="0">
                  <c:v>1911</c:v>
                </c:pt>
                <c:pt idx="1">
                  <c:v>326</c:v>
                </c:pt>
                <c:pt idx="2">
                  <c:v>78</c:v>
                </c:pt>
                <c:pt idx="3">
                  <c:v>160</c:v>
                </c:pt>
                <c:pt idx="4">
                  <c:v>52</c:v>
                </c:pt>
                <c:pt idx="5">
                  <c:v>144</c:v>
                </c:pt>
              </c:numCache>
            </c:numRef>
          </c:val>
          <c:extLst>
            <c:ext xmlns:c16="http://schemas.microsoft.com/office/drawing/2014/chart" uri="{C3380CC4-5D6E-409C-BE32-E72D297353CC}">
              <c16:uniqueId val="{00000002-46C5-4BE4-BA9E-1E6871B843B2}"/>
            </c:ext>
          </c:extLst>
        </c:ser>
        <c:dLbls>
          <c:showLegendKey val="0"/>
          <c:showVal val="0"/>
          <c:showCatName val="0"/>
          <c:showSerName val="0"/>
          <c:showPercent val="0"/>
          <c:showBubbleSize val="0"/>
        </c:dLbls>
        <c:gapWidth val="219"/>
        <c:overlap val="-27"/>
        <c:axId val="1994697744"/>
        <c:axId val="1994698224"/>
      </c:barChart>
      <c:catAx>
        <c:axId val="19946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94698224"/>
        <c:crosses val="autoZero"/>
        <c:auto val="1"/>
        <c:lblAlgn val="ctr"/>
        <c:lblOffset val="100"/>
        <c:noMultiLvlLbl val="0"/>
      </c:catAx>
      <c:valAx>
        <c:axId val="199469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9469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113392</xdr:colOff>
      <xdr:row>12</xdr:row>
      <xdr:rowOff>111577</xdr:rowOff>
    </xdr:from>
    <xdr:to>
      <xdr:col>4</xdr:col>
      <xdr:colOff>830035</xdr:colOff>
      <xdr:row>26</xdr:row>
      <xdr:rowOff>60777</xdr:rowOff>
    </xdr:to>
    <xdr:graphicFrame macro="">
      <xdr:nvGraphicFramePr>
        <xdr:cNvPr id="10" name="Diagramm 9">
          <a:extLst>
            <a:ext uri="{FF2B5EF4-FFF2-40B4-BE49-F238E27FC236}">
              <a16:creationId xmlns:a16="http://schemas.microsoft.com/office/drawing/2014/main" id="{DA3BEB05-BB71-0558-4A9E-7B86BA12F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1020536</xdr:colOff>
      <xdr:row>12</xdr:row>
      <xdr:rowOff>111579</xdr:rowOff>
    </xdr:from>
    <xdr:to>
      <xdr:col>9</xdr:col>
      <xdr:colOff>358322</xdr:colOff>
      <xdr:row>26</xdr:row>
      <xdr:rowOff>60779</xdr:rowOff>
    </xdr:to>
    <xdr:graphicFrame macro="">
      <xdr:nvGraphicFramePr>
        <xdr:cNvPr id="13" name="Diagramm 12">
          <a:extLst>
            <a:ext uri="{FF2B5EF4-FFF2-40B4-BE49-F238E27FC236}">
              <a16:creationId xmlns:a16="http://schemas.microsoft.com/office/drawing/2014/main" id="{32F4B672-74BE-DB5A-F67B-16A10C055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58965</xdr:colOff>
      <xdr:row>0</xdr:row>
      <xdr:rowOff>175078</xdr:rowOff>
    </xdr:from>
    <xdr:to>
      <xdr:col>9</xdr:col>
      <xdr:colOff>639537</xdr:colOff>
      <xdr:row>10</xdr:row>
      <xdr:rowOff>87992</xdr:rowOff>
    </xdr:to>
    <xdr:graphicFrame macro="">
      <xdr:nvGraphicFramePr>
        <xdr:cNvPr id="14" name="Diagramm 13">
          <a:extLst>
            <a:ext uri="{FF2B5EF4-FFF2-40B4-BE49-F238E27FC236}">
              <a16:creationId xmlns:a16="http://schemas.microsoft.com/office/drawing/2014/main" id="{14337784-B755-579E-C9E0-9FB2AD611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761B-E590-4249-9328-69AF3C9D1889}">
  <dimension ref="A1:E17"/>
  <sheetViews>
    <sheetView zoomScale="85" zoomScaleNormal="85" workbookViewId="0">
      <selection activeCell="E18" sqref="E18"/>
    </sheetView>
  </sheetViews>
  <sheetFormatPr baseColWidth="10" defaultColWidth="11.453125" defaultRowHeight="15.5" x14ac:dyDescent="0.35"/>
  <cols>
    <col min="1" max="16384" width="11.453125" style="1"/>
  </cols>
  <sheetData>
    <row r="1" spans="1:5" x14ac:dyDescent="0.35">
      <c r="A1" s="28" t="s">
        <v>8</v>
      </c>
      <c r="B1" s="28"/>
      <c r="C1" s="28"/>
      <c r="D1" s="28"/>
      <c r="E1" s="28"/>
    </row>
    <row r="3" spans="1:5" x14ac:dyDescent="0.35">
      <c r="A3" s="4" t="s">
        <v>0</v>
      </c>
      <c r="B3" s="4"/>
      <c r="C3" s="4"/>
      <c r="D3" s="4"/>
      <c r="E3" s="4"/>
    </row>
    <row r="4" spans="1:5" ht="16" thickBot="1" x14ac:dyDescent="0.4">
      <c r="A4" s="2" t="s">
        <v>1</v>
      </c>
      <c r="B4" s="2" t="s">
        <v>2</v>
      </c>
      <c r="C4" s="2" t="s">
        <v>3</v>
      </c>
      <c r="E4" s="1" t="s">
        <v>4</v>
      </c>
    </row>
    <row r="5" spans="1:5" ht="16" thickBot="1" x14ac:dyDescent="0.4">
      <c r="A5" s="2">
        <v>54</v>
      </c>
      <c r="B5" s="2">
        <v>586</v>
      </c>
      <c r="C5" s="2">
        <v>686</v>
      </c>
      <c r="E5" s="5">
        <f>SUM(A5:C5)</f>
        <v>1326</v>
      </c>
    </row>
    <row r="7" spans="1:5" x14ac:dyDescent="0.35">
      <c r="A7" s="4" t="s">
        <v>5</v>
      </c>
      <c r="B7" s="4"/>
      <c r="C7" s="4"/>
      <c r="D7" s="4"/>
      <c r="E7" s="4"/>
    </row>
    <row r="8" spans="1:5" ht="16" thickBot="1" x14ac:dyDescent="0.4">
      <c r="A8" s="2" t="s">
        <v>1</v>
      </c>
      <c r="B8" s="2" t="s">
        <v>2</v>
      </c>
      <c r="C8" s="2" t="s">
        <v>3</v>
      </c>
    </row>
    <row r="9" spans="1:5" ht="16" thickBot="1" x14ac:dyDescent="0.4">
      <c r="A9" s="2">
        <v>145</v>
      </c>
      <c r="B9" s="2">
        <v>55</v>
      </c>
      <c r="C9" s="2">
        <v>0.5</v>
      </c>
      <c r="E9" s="5">
        <f>A9-B9-C9</f>
        <v>89.5</v>
      </c>
    </row>
    <row r="11" spans="1:5" x14ac:dyDescent="0.35">
      <c r="A11" s="4" t="s">
        <v>6</v>
      </c>
      <c r="B11" s="4"/>
      <c r="C11" s="4"/>
      <c r="D11" s="4"/>
      <c r="E11" s="4"/>
    </row>
    <row r="12" spans="1:5" ht="16" thickBot="1" x14ac:dyDescent="0.4">
      <c r="A12" s="2" t="s">
        <v>1</v>
      </c>
      <c r="B12" s="2" t="s">
        <v>2</v>
      </c>
    </row>
    <row r="13" spans="1:5" ht="16" thickBot="1" x14ac:dyDescent="0.4">
      <c r="A13" s="2">
        <v>5745</v>
      </c>
      <c r="B13" s="2">
        <v>525</v>
      </c>
      <c r="E13" s="5">
        <f>A13/B13</f>
        <v>10.942857142857143</v>
      </c>
    </row>
    <row r="15" spans="1:5" x14ac:dyDescent="0.35">
      <c r="A15" s="4" t="s">
        <v>7</v>
      </c>
      <c r="B15" s="4"/>
      <c r="C15" s="4"/>
      <c r="D15" s="4"/>
      <c r="E15" s="4"/>
    </row>
    <row r="16" spans="1:5" ht="16" thickBot="1" x14ac:dyDescent="0.4">
      <c r="A16" s="2" t="s">
        <v>1</v>
      </c>
      <c r="B16" s="2" t="s">
        <v>2</v>
      </c>
      <c r="C16" s="2" t="s">
        <v>3</v>
      </c>
    </row>
    <row r="17" spans="1:5" ht="16" thickBot="1" x14ac:dyDescent="0.4">
      <c r="A17" s="2">
        <v>23</v>
      </c>
      <c r="B17" s="2">
        <v>11</v>
      </c>
      <c r="C17" s="2">
        <v>445</v>
      </c>
      <c r="E17" s="5">
        <f>A17*B17*C17</f>
        <v>112585</v>
      </c>
    </row>
  </sheetData>
  <mergeCells count="1">
    <mergeCell ref="A1:E1"/>
  </mergeCells>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8C76-AFDA-4760-8B39-06785FE1D7DE}">
  <dimension ref="A1:E35"/>
  <sheetViews>
    <sheetView topLeftCell="A21" zoomScaleNormal="100" workbookViewId="0">
      <selection activeCell="F33" sqref="F33"/>
    </sheetView>
  </sheetViews>
  <sheetFormatPr baseColWidth="10" defaultColWidth="11.453125" defaultRowHeight="15.5" x14ac:dyDescent="0.35"/>
  <cols>
    <col min="1" max="16384" width="11.453125" style="1"/>
  </cols>
  <sheetData>
    <row r="1" spans="1:5" x14ac:dyDescent="0.35">
      <c r="A1" s="28" t="s">
        <v>8</v>
      </c>
      <c r="B1" s="28"/>
      <c r="C1" s="28"/>
      <c r="D1" s="28"/>
      <c r="E1" s="28"/>
    </row>
    <row r="3" spans="1:5" x14ac:dyDescent="0.35">
      <c r="A3" s="4" t="s">
        <v>0</v>
      </c>
      <c r="B3" s="4"/>
      <c r="C3" s="4"/>
      <c r="D3" s="4"/>
      <c r="E3" s="4"/>
    </row>
    <row r="4" spans="1:5" ht="16" thickBot="1" x14ac:dyDescent="0.4">
      <c r="A4" s="2" t="s">
        <v>1</v>
      </c>
      <c r="B4" s="2" t="s">
        <v>2</v>
      </c>
      <c r="C4" s="2"/>
      <c r="D4" s="1" t="s">
        <v>4</v>
      </c>
    </row>
    <row r="5" spans="1:5" ht="16" thickBot="1" x14ac:dyDescent="0.4">
      <c r="A5" s="2">
        <v>1</v>
      </c>
      <c r="B5" s="6">
        <v>31</v>
      </c>
      <c r="C5" s="2"/>
      <c r="D5" s="5">
        <f>SUM(A5:B5)</f>
        <v>32</v>
      </c>
    </row>
    <row r="6" spans="1:5" ht="16" thickBot="1" x14ac:dyDescent="0.4">
      <c r="A6" s="2">
        <v>2</v>
      </c>
      <c r="B6" s="6">
        <v>30</v>
      </c>
      <c r="D6" s="5">
        <f t="shared" ref="D6:D11" si="0">SUM(A6:B6)</f>
        <v>32</v>
      </c>
    </row>
    <row r="7" spans="1:5" ht="16" thickBot="1" x14ac:dyDescent="0.4">
      <c r="A7" s="2">
        <v>3</v>
      </c>
      <c r="B7" s="6">
        <v>29</v>
      </c>
      <c r="D7" s="5">
        <f t="shared" si="0"/>
        <v>32</v>
      </c>
    </row>
    <row r="8" spans="1:5" ht="16" thickBot="1" x14ac:dyDescent="0.4">
      <c r="A8" s="2">
        <v>4</v>
      </c>
      <c r="B8" s="6">
        <v>28</v>
      </c>
      <c r="D8" s="5">
        <f t="shared" si="0"/>
        <v>32</v>
      </c>
    </row>
    <row r="9" spans="1:5" ht="16" thickBot="1" x14ac:dyDescent="0.4">
      <c r="A9" s="2">
        <v>5</v>
      </c>
      <c r="B9" s="6">
        <v>27</v>
      </c>
      <c r="D9" s="5">
        <f t="shared" si="0"/>
        <v>32</v>
      </c>
    </row>
    <row r="10" spans="1:5" ht="16" thickBot="1" x14ac:dyDescent="0.4">
      <c r="A10" s="2">
        <v>6</v>
      </c>
      <c r="B10" s="6">
        <v>26</v>
      </c>
      <c r="D10" s="5">
        <f t="shared" si="0"/>
        <v>32</v>
      </c>
    </row>
    <row r="11" spans="1:5" ht="16" thickBot="1" x14ac:dyDescent="0.4">
      <c r="A11" s="2">
        <v>7</v>
      </c>
      <c r="B11" s="6">
        <v>25</v>
      </c>
      <c r="D11" s="5">
        <f t="shared" si="0"/>
        <v>32</v>
      </c>
    </row>
    <row r="12" spans="1:5" ht="16" thickBot="1" x14ac:dyDescent="0.4">
      <c r="A12" s="2">
        <v>8</v>
      </c>
      <c r="B12" s="6">
        <v>24</v>
      </c>
      <c r="D12" s="5">
        <f t="shared" ref="D6:D35" si="1">SUM(A12:B12)</f>
        <v>32</v>
      </c>
    </row>
    <row r="13" spans="1:5" ht="16" thickBot="1" x14ac:dyDescent="0.4">
      <c r="A13" s="2">
        <v>9</v>
      </c>
      <c r="B13" s="6">
        <v>23</v>
      </c>
      <c r="D13" s="5">
        <f t="shared" si="1"/>
        <v>32</v>
      </c>
    </row>
    <row r="14" spans="1:5" ht="16" thickBot="1" x14ac:dyDescent="0.4">
      <c r="A14" s="2">
        <v>10</v>
      </c>
      <c r="B14" s="6">
        <v>22</v>
      </c>
      <c r="D14" s="5">
        <f t="shared" si="1"/>
        <v>32</v>
      </c>
    </row>
    <row r="15" spans="1:5" ht="16" thickBot="1" x14ac:dyDescent="0.4">
      <c r="A15" s="2">
        <v>11</v>
      </c>
      <c r="B15" s="6">
        <v>21</v>
      </c>
      <c r="D15" s="5">
        <f t="shared" si="1"/>
        <v>32</v>
      </c>
    </row>
    <row r="16" spans="1:5" ht="16" thickBot="1" x14ac:dyDescent="0.4">
      <c r="A16" s="2">
        <v>12</v>
      </c>
      <c r="B16" s="6">
        <v>20</v>
      </c>
      <c r="D16" s="5">
        <f t="shared" si="1"/>
        <v>32</v>
      </c>
    </row>
    <row r="17" spans="1:4" ht="16" thickBot="1" x14ac:dyDescent="0.4">
      <c r="A17" s="2">
        <v>13</v>
      </c>
      <c r="B17" s="6">
        <v>19</v>
      </c>
      <c r="D17" s="5">
        <f t="shared" si="1"/>
        <v>32</v>
      </c>
    </row>
    <row r="18" spans="1:4" ht="16" thickBot="1" x14ac:dyDescent="0.4">
      <c r="A18" s="2">
        <v>14</v>
      </c>
      <c r="B18" s="6">
        <v>18</v>
      </c>
      <c r="D18" s="5">
        <f t="shared" si="1"/>
        <v>32</v>
      </c>
    </row>
    <row r="19" spans="1:4" ht="16" thickBot="1" x14ac:dyDescent="0.4">
      <c r="A19" s="2">
        <v>15</v>
      </c>
      <c r="B19" s="6">
        <v>17</v>
      </c>
      <c r="D19" s="5">
        <f t="shared" si="1"/>
        <v>32</v>
      </c>
    </row>
    <row r="20" spans="1:4" ht="16" thickBot="1" x14ac:dyDescent="0.4">
      <c r="A20" s="2">
        <v>16</v>
      </c>
      <c r="B20" s="6">
        <v>16</v>
      </c>
      <c r="D20" s="5">
        <f t="shared" si="1"/>
        <v>32</v>
      </c>
    </row>
    <row r="21" spans="1:4" ht="16" thickBot="1" x14ac:dyDescent="0.4">
      <c r="A21" s="2">
        <v>17</v>
      </c>
      <c r="B21" s="6">
        <v>15</v>
      </c>
      <c r="D21" s="5">
        <f t="shared" si="1"/>
        <v>32</v>
      </c>
    </row>
    <row r="22" spans="1:4" ht="16" thickBot="1" x14ac:dyDescent="0.4">
      <c r="A22" s="2">
        <v>18</v>
      </c>
      <c r="B22" s="6">
        <v>14</v>
      </c>
      <c r="D22" s="5">
        <f t="shared" si="1"/>
        <v>32</v>
      </c>
    </row>
    <row r="23" spans="1:4" ht="16" thickBot="1" x14ac:dyDescent="0.4">
      <c r="A23" s="2">
        <v>19</v>
      </c>
      <c r="B23" s="6">
        <v>13</v>
      </c>
      <c r="D23" s="5">
        <f t="shared" si="1"/>
        <v>32</v>
      </c>
    </row>
    <row r="24" spans="1:4" ht="16" thickBot="1" x14ac:dyDescent="0.4">
      <c r="A24" s="2">
        <v>20</v>
      </c>
      <c r="B24" s="6">
        <v>12</v>
      </c>
      <c r="D24" s="5">
        <f t="shared" si="1"/>
        <v>32</v>
      </c>
    </row>
    <row r="25" spans="1:4" ht="16" thickBot="1" x14ac:dyDescent="0.4">
      <c r="A25" s="2">
        <v>21</v>
      </c>
      <c r="B25" s="6">
        <v>11</v>
      </c>
      <c r="D25" s="5">
        <f t="shared" si="1"/>
        <v>32</v>
      </c>
    </row>
    <row r="26" spans="1:4" ht="16" thickBot="1" x14ac:dyDescent="0.4">
      <c r="A26" s="2">
        <v>22</v>
      </c>
      <c r="B26" s="6">
        <v>10</v>
      </c>
      <c r="D26" s="5">
        <f t="shared" si="1"/>
        <v>32</v>
      </c>
    </row>
    <row r="27" spans="1:4" ht="16" thickBot="1" x14ac:dyDescent="0.4">
      <c r="A27" s="2">
        <v>23</v>
      </c>
      <c r="B27" s="6">
        <v>9</v>
      </c>
      <c r="D27" s="5">
        <f t="shared" si="1"/>
        <v>32</v>
      </c>
    </row>
    <row r="28" spans="1:4" ht="16" thickBot="1" x14ac:dyDescent="0.4">
      <c r="A28" s="2">
        <v>24</v>
      </c>
      <c r="B28" s="6">
        <v>8</v>
      </c>
      <c r="D28" s="5">
        <f t="shared" si="1"/>
        <v>32</v>
      </c>
    </row>
    <row r="29" spans="1:4" ht="16" thickBot="1" x14ac:dyDescent="0.4">
      <c r="A29" s="2">
        <v>25</v>
      </c>
      <c r="B29" s="6">
        <v>7</v>
      </c>
      <c r="D29" s="5">
        <f t="shared" si="1"/>
        <v>32</v>
      </c>
    </row>
    <row r="30" spans="1:4" ht="16" thickBot="1" x14ac:dyDescent="0.4">
      <c r="A30" s="2">
        <v>26</v>
      </c>
      <c r="B30" s="6">
        <v>6</v>
      </c>
      <c r="D30" s="5">
        <f t="shared" si="1"/>
        <v>32</v>
      </c>
    </row>
    <row r="31" spans="1:4" ht="16" thickBot="1" x14ac:dyDescent="0.4">
      <c r="A31" s="2">
        <v>27</v>
      </c>
      <c r="B31" s="6">
        <v>5</v>
      </c>
      <c r="D31" s="5">
        <f t="shared" si="1"/>
        <v>32</v>
      </c>
    </row>
    <row r="32" spans="1:4" ht="16" thickBot="1" x14ac:dyDescent="0.4">
      <c r="A32" s="2">
        <v>28</v>
      </c>
      <c r="B32" s="6">
        <v>4</v>
      </c>
      <c r="D32" s="5">
        <f t="shared" si="1"/>
        <v>32</v>
      </c>
    </row>
    <row r="33" spans="1:4" ht="16" thickBot="1" x14ac:dyDescent="0.4">
      <c r="A33" s="2">
        <v>29</v>
      </c>
      <c r="B33" s="6">
        <v>3</v>
      </c>
      <c r="D33" s="5">
        <f t="shared" si="1"/>
        <v>32</v>
      </c>
    </row>
    <row r="34" spans="1:4" ht="16" thickBot="1" x14ac:dyDescent="0.4">
      <c r="A34" s="2">
        <v>30</v>
      </c>
      <c r="B34" s="6">
        <v>2</v>
      </c>
      <c r="D34" s="5">
        <f t="shared" si="1"/>
        <v>32</v>
      </c>
    </row>
    <row r="35" spans="1:4" ht="16" thickBot="1" x14ac:dyDescent="0.4">
      <c r="A35" s="2">
        <v>31</v>
      </c>
      <c r="B35" s="6">
        <v>1</v>
      </c>
      <c r="D35" s="5">
        <f t="shared" si="1"/>
        <v>32</v>
      </c>
    </row>
  </sheetData>
  <mergeCells count="1">
    <mergeCell ref="A1:E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DE4A-B4B4-4417-A36F-9443B58EEA08}">
  <dimension ref="A1:E8"/>
  <sheetViews>
    <sheetView workbookViewId="0">
      <selection activeCell="B9" sqref="B9"/>
    </sheetView>
  </sheetViews>
  <sheetFormatPr baseColWidth="10" defaultColWidth="11.453125" defaultRowHeight="15.5" x14ac:dyDescent="0.35"/>
  <cols>
    <col min="1" max="1" width="11.453125" style="1"/>
    <col min="2" max="2" width="19.1796875" style="1" customWidth="1"/>
    <col min="3" max="16384" width="11.453125" style="1"/>
  </cols>
  <sheetData>
    <row r="1" spans="1:5" ht="33" customHeight="1" x14ac:dyDescent="0.35">
      <c r="A1" s="29" t="s">
        <v>17</v>
      </c>
      <c r="B1" s="28"/>
      <c r="C1" s="28"/>
      <c r="D1" s="28"/>
      <c r="E1" s="28"/>
    </row>
    <row r="2" spans="1:5" ht="16" thickBot="1" x14ac:dyDescent="0.4"/>
    <row r="3" spans="1:5" ht="16" thickBot="1" x14ac:dyDescent="0.4">
      <c r="A3" s="9" t="s">
        <v>12</v>
      </c>
      <c r="B3" s="10" t="s">
        <v>13</v>
      </c>
    </row>
    <row r="4" spans="1:5" x14ac:dyDescent="0.35">
      <c r="A4" s="1" t="s">
        <v>9</v>
      </c>
      <c r="B4" s="2" t="str">
        <f>'Zellbezug Info'!C3</f>
        <v>Koenigsegg Agera S</v>
      </c>
      <c r="C4" s="2"/>
    </row>
    <row r="5" spans="1:5" x14ac:dyDescent="0.35">
      <c r="A5" s="3" t="s">
        <v>10</v>
      </c>
      <c r="B5" s="1" t="str">
        <f>'Zellbezug Info'!C4</f>
        <v>Audi A8 L</v>
      </c>
    </row>
    <row r="6" spans="1:5" x14ac:dyDescent="0.35">
      <c r="A6" s="1" t="s">
        <v>9</v>
      </c>
      <c r="B6" s="1" t="str">
        <f>'Zellbezug Info'!C3</f>
        <v>Koenigsegg Agera S</v>
      </c>
    </row>
    <row r="7" spans="1:5" x14ac:dyDescent="0.35">
      <c r="A7" s="1" t="s">
        <v>9</v>
      </c>
      <c r="B7" s="1" t="str">
        <f>'Zellbezug Info'!C3</f>
        <v>Koenigsegg Agera S</v>
      </c>
    </row>
    <row r="8" spans="1:5" x14ac:dyDescent="0.35">
      <c r="A8" s="1" t="s">
        <v>11</v>
      </c>
      <c r="B8" s="1" t="str">
        <f>'Zellbezug Info'!C5</f>
        <v>Cadillac Escalade</v>
      </c>
    </row>
  </sheetData>
  <mergeCells count="1">
    <mergeCell ref="A1:E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4087-D71F-4B31-A8BF-FED888746FFC}">
  <dimension ref="B2:C5"/>
  <sheetViews>
    <sheetView workbookViewId="0">
      <selection activeCell="B5" sqref="B5"/>
    </sheetView>
  </sheetViews>
  <sheetFormatPr baseColWidth="10" defaultColWidth="11.453125" defaultRowHeight="15.5" x14ac:dyDescent="0.35"/>
  <cols>
    <col min="1" max="2" width="11.453125" style="1"/>
    <col min="3" max="3" width="21.26953125" style="1" customWidth="1"/>
    <col min="4" max="16384" width="11.453125" style="1"/>
  </cols>
  <sheetData>
    <row r="2" spans="2:3" ht="16" thickBot="1" x14ac:dyDescent="0.4"/>
    <row r="3" spans="2:3" x14ac:dyDescent="0.35">
      <c r="B3" s="12" t="s">
        <v>9</v>
      </c>
      <c r="C3" s="13" t="s">
        <v>14</v>
      </c>
    </row>
    <row r="4" spans="2:3" x14ac:dyDescent="0.35">
      <c r="B4" s="14" t="s">
        <v>10</v>
      </c>
      <c r="C4" s="15" t="s">
        <v>15</v>
      </c>
    </row>
    <row r="5" spans="2:3" ht="16" thickBot="1" x14ac:dyDescent="0.4">
      <c r="B5" s="16" t="s">
        <v>10</v>
      </c>
      <c r="C5" s="17" t="s">
        <v>16</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0639D-6729-4454-9BF8-D4AF0F4541A6}">
  <dimension ref="A1:G11"/>
  <sheetViews>
    <sheetView workbookViewId="0">
      <selection activeCell="G14" sqref="G14"/>
    </sheetView>
  </sheetViews>
  <sheetFormatPr baseColWidth="10" defaultColWidth="11.453125" defaultRowHeight="15.5" x14ac:dyDescent="0.35"/>
  <cols>
    <col min="1" max="1" width="15.7265625" style="1" customWidth="1"/>
    <col min="2" max="2" width="12.81640625" style="1" customWidth="1"/>
    <col min="3" max="5" width="11.453125" style="1"/>
    <col min="6" max="6" width="22.81640625" style="1" customWidth="1"/>
    <col min="7" max="16384" width="11.453125" style="1"/>
  </cols>
  <sheetData>
    <row r="1" spans="1:7" ht="33" customHeight="1" x14ac:dyDescent="0.35">
      <c r="A1" s="29" t="s">
        <v>18</v>
      </c>
      <c r="B1" s="28"/>
      <c r="C1" s="28"/>
      <c r="D1" s="28"/>
      <c r="E1" s="28"/>
    </row>
    <row r="2" spans="1:7" ht="16" thickBot="1" x14ac:dyDescent="0.4"/>
    <row r="3" spans="1:7" ht="16" thickBot="1" x14ac:dyDescent="0.4">
      <c r="A3" s="9" t="s">
        <v>19</v>
      </c>
      <c r="B3" s="10" t="s">
        <v>20</v>
      </c>
    </row>
    <row r="4" spans="1:7" x14ac:dyDescent="0.35">
      <c r="A4" s="1" t="s">
        <v>21</v>
      </c>
      <c r="B4" s="18">
        <v>1.56</v>
      </c>
      <c r="F4" s="11" t="s">
        <v>26</v>
      </c>
      <c r="G4" s="33">
        <f>SUM(B4:B8)</f>
        <v>15.280000000000001</v>
      </c>
    </row>
    <row r="5" spans="1:7" x14ac:dyDescent="0.35">
      <c r="A5" s="3" t="s">
        <v>22</v>
      </c>
      <c r="B5" s="19">
        <v>5.99</v>
      </c>
      <c r="F5" s="11" t="s">
        <v>27</v>
      </c>
      <c r="G5" s="33">
        <f>MIN(B4:B8)</f>
        <v>0.99</v>
      </c>
    </row>
    <row r="6" spans="1:7" x14ac:dyDescent="0.35">
      <c r="A6" s="1" t="s">
        <v>23</v>
      </c>
      <c r="B6" s="19">
        <v>2.85</v>
      </c>
      <c r="F6" s="11" t="s">
        <v>28</v>
      </c>
      <c r="G6" s="33">
        <f>MAX(B4:B8)</f>
        <v>5.99</v>
      </c>
    </row>
    <row r="7" spans="1:7" x14ac:dyDescent="0.35">
      <c r="A7" s="1" t="s">
        <v>24</v>
      </c>
      <c r="B7" s="19">
        <v>0.99</v>
      </c>
      <c r="F7" s="11" t="s">
        <v>29</v>
      </c>
      <c r="G7" s="33">
        <f>AVERAGE(B4:B8)</f>
        <v>3.056</v>
      </c>
    </row>
    <row r="8" spans="1:7" x14ac:dyDescent="0.35">
      <c r="A8" s="1" t="s">
        <v>25</v>
      </c>
      <c r="B8" s="19">
        <v>3.89</v>
      </c>
    </row>
    <row r="9" spans="1:7" x14ac:dyDescent="0.35">
      <c r="F9" s="11" t="s">
        <v>30</v>
      </c>
      <c r="G9" s="34">
        <f>ROUND(B5,1)</f>
        <v>6</v>
      </c>
    </row>
    <row r="10" spans="1:7" x14ac:dyDescent="0.35">
      <c r="F10" s="11" t="s">
        <v>31</v>
      </c>
      <c r="G10" s="33">
        <f>ROUNDUP(B5,2)</f>
        <v>5.99</v>
      </c>
    </row>
    <row r="11" spans="1:7" x14ac:dyDescent="0.35">
      <c r="F11" s="11" t="s">
        <v>32</v>
      </c>
      <c r="G11" s="35">
        <f>ROUNDDOWN(B5,0)</f>
        <v>5</v>
      </c>
    </row>
  </sheetData>
  <mergeCells count="1">
    <mergeCell ref="A1:E1"/>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56D9-0D10-4FC7-9538-F96B25FAF67F}">
  <dimension ref="A1:G9"/>
  <sheetViews>
    <sheetView workbookViewId="0">
      <selection activeCell="E11" sqref="E11"/>
    </sheetView>
  </sheetViews>
  <sheetFormatPr baseColWidth="10" defaultColWidth="11.453125" defaultRowHeight="15.5" x14ac:dyDescent="0.35"/>
  <cols>
    <col min="1" max="1" width="15.7265625" style="1" customWidth="1"/>
    <col min="2" max="2" width="15" style="1" bestFit="1" customWidth="1"/>
    <col min="3" max="3" width="13" style="1" bestFit="1" customWidth="1"/>
    <col min="4" max="4" width="13.81640625" style="1" customWidth="1"/>
    <col min="5" max="5" width="11.453125" style="1"/>
    <col min="6" max="6" width="22.81640625" style="1" customWidth="1"/>
    <col min="7" max="16384" width="11.453125" style="1"/>
  </cols>
  <sheetData>
    <row r="1" spans="1:7" ht="65.25" customHeight="1" x14ac:dyDescent="0.35">
      <c r="A1" s="29" t="s">
        <v>72</v>
      </c>
      <c r="B1" s="28"/>
      <c r="C1" s="28"/>
      <c r="D1" s="28"/>
      <c r="E1" s="28"/>
    </row>
    <row r="3" spans="1:7" x14ac:dyDescent="0.35">
      <c r="A3" s="11" t="s">
        <v>33</v>
      </c>
      <c r="B3" s="11" t="s">
        <v>40</v>
      </c>
      <c r="C3" s="11" t="s">
        <v>41</v>
      </c>
      <c r="D3" s="11" t="s">
        <v>20</v>
      </c>
    </row>
    <row r="4" spans="1:7" x14ac:dyDescent="0.35">
      <c r="A4" s="11" t="s">
        <v>34</v>
      </c>
      <c r="B4" s="11">
        <v>4585</v>
      </c>
      <c r="C4" s="11">
        <f>ROUND(B4/6, 0)</f>
        <v>764</v>
      </c>
      <c r="D4" s="36">
        <f>C4*$G$4</f>
        <v>9550</v>
      </c>
      <c r="F4" s="11" t="s">
        <v>42</v>
      </c>
      <c r="G4" s="20">
        <v>12.5</v>
      </c>
    </row>
    <row r="5" spans="1:7" x14ac:dyDescent="0.35">
      <c r="A5" s="11" t="s">
        <v>35</v>
      </c>
      <c r="B5" s="11">
        <v>5541</v>
      </c>
      <c r="C5" s="11">
        <f t="shared" ref="C5:C9" si="0">ROUND(B5/6, 0)</f>
        <v>924</v>
      </c>
      <c r="D5" s="36">
        <f t="shared" ref="D5:D9" si="1">C5*$G$4</f>
        <v>11550</v>
      </c>
    </row>
    <row r="6" spans="1:7" x14ac:dyDescent="0.35">
      <c r="A6" s="11" t="s">
        <v>36</v>
      </c>
      <c r="B6" s="11">
        <v>12</v>
      </c>
      <c r="C6" s="11">
        <f t="shared" si="0"/>
        <v>2</v>
      </c>
      <c r="D6" s="36">
        <f t="shared" si="1"/>
        <v>25</v>
      </c>
    </row>
    <row r="7" spans="1:7" x14ac:dyDescent="0.35">
      <c r="A7" s="11" t="s">
        <v>37</v>
      </c>
      <c r="B7" s="11">
        <v>456</v>
      </c>
      <c r="C7" s="11">
        <f t="shared" si="0"/>
        <v>76</v>
      </c>
      <c r="D7" s="36">
        <f t="shared" si="1"/>
        <v>950</v>
      </c>
    </row>
    <row r="8" spans="1:7" x14ac:dyDescent="0.35">
      <c r="A8" s="11" t="s">
        <v>38</v>
      </c>
      <c r="B8" s="11">
        <v>84</v>
      </c>
      <c r="C8" s="11">
        <f t="shared" si="0"/>
        <v>14</v>
      </c>
      <c r="D8" s="36">
        <f t="shared" si="1"/>
        <v>175</v>
      </c>
    </row>
    <row r="9" spans="1:7" x14ac:dyDescent="0.35">
      <c r="A9" s="11" t="s">
        <v>39</v>
      </c>
      <c r="B9" s="11">
        <v>44</v>
      </c>
      <c r="C9" s="11">
        <f t="shared" si="0"/>
        <v>7</v>
      </c>
      <c r="D9" s="36">
        <f t="shared" si="1"/>
        <v>87.5</v>
      </c>
    </row>
  </sheetData>
  <mergeCells count="1">
    <mergeCell ref="A1:E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F2B0-9722-48AB-A4AF-43B158A684A5}">
  <dimension ref="A1:G19"/>
  <sheetViews>
    <sheetView workbookViewId="0">
      <selection activeCell="B16" sqref="B16"/>
    </sheetView>
  </sheetViews>
  <sheetFormatPr baseColWidth="10" defaultColWidth="11.453125" defaultRowHeight="15.5" x14ac:dyDescent="0.35"/>
  <cols>
    <col min="1" max="1" width="15.7265625" style="1" customWidth="1"/>
    <col min="2" max="2" width="15" style="1" bestFit="1" customWidth="1"/>
    <col min="3" max="3" width="13" style="1" bestFit="1" customWidth="1"/>
    <col min="4" max="5" width="11.453125" style="1"/>
    <col min="6" max="6" width="22.81640625" style="1" customWidth="1"/>
    <col min="7" max="16384" width="11.453125" style="1"/>
  </cols>
  <sheetData>
    <row r="1" spans="1:7" x14ac:dyDescent="0.35">
      <c r="A1" s="29" t="s">
        <v>54</v>
      </c>
      <c r="B1" s="28"/>
      <c r="C1" s="28"/>
      <c r="D1" s="28"/>
      <c r="E1" s="28"/>
    </row>
    <row r="3" spans="1:7" x14ac:dyDescent="0.35">
      <c r="A3" s="23" t="s">
        <v>45</v>
      </c>
      <c r="B3" s="22" t="s">
        <v>46</v>
      </c>
      <c r="C3" s="22" t="s">
        <v>47</v>
      </c>
      <c r="D3" s="22" t="s">
        <v>48</v>
      </c>
    </row>
    <row r="4" spans="1:7" x14ac:dyDescent="0.35">
      <c r="A4" s="11" t="s">
        <v>44</v>
      </c>
      <c r="B4" s="20">
        <v>4.5</v>
      </c>
      <c r="C4" s="36">
        <f>B4*$G$4</f>
        <v>0.9</v>
      </c>
      <c r="D4" s="37">
        <f>SUM(B4:C4)</f>
        <v>5.4</v>
      </c>
      <c r="F4" s="11" t="s">
        <v>43</v>
      </c>
      <c r="G4" s="21">
        <v>0.2</v>
      </c>
    </row>
    <row r="5" spans="1:7" x14ac:dyDescent="0.35">
      <c r="A5" s="11" t="s">
        <v>49</v>
      </c>
      <c r="B5" s="20">
        <v>15.8</v>
      </c>
      <c r="C5" s="36">
        <f t="shared" ref="C5:C7" si="0">B5*$G$4</f>
        <v>3.16</v>
      </c>
      <c r="D5" s="37">
        <f t="shared" ref="D5:D7" si="1">SUM(B5:C5)</f>
        <v>18.96</v>
      </c>
      <c r="F5" s="11" t="s">
        <v>43</v>
      </c>
      <c r="G5" s="24">
        <v>0.1</v>
      </c>
    </row>
    <row r="6" spans="1:7" x14ac:dyDescent="0.35">
      <c r="A6" s="11" t="s">
        <v>50</v>
      </c>
      <c r="B6" s="20">
        <v>47.4</v>
      </c>
      <c r="C6" s="36">
        <f t="shared" si="0"/>
        <v>9.48</v>
      </c>
      <c r="D6" s="37">
        <f t="shared" si="1"/>
        <v>56.879999999999995</v>
      </c>
      <c r="F6" s="11" t="s">
        <v>43</v>
      </c>
      <c r="G6" s="24">
        <v>0.13</v>
      </c>
    </row>
    <row r="7" spans="1:7" x14ac:dyDescent="0.35">
      <c r="A7" s="11" t="s">
        <v>51</v>
      </c>
      <c r="B7" s="20">
        <v>13</v>
      </c>
      <c r="C7" s="36">
        <f t="shared" si="0"/>
        <v>2.6</v>
      </c>
      <c r="D7" s="37">
        <f t="shared" si="1"/>
        <v>15.6</v>
      </c>
    </row>
    <row r="9" spans="1:7" x14ac:dyDescent="0.35">
      <c r="A9" s="23" t="s">
        <v>52</v>
      </c>
      <c r="B9" s="22" t="s">
        <v>46</v>
      </c>
      <c r="C9" s="22" t="s">
        <v>47</v>
      </c>
      <c r="D9" s="22" t="s">
        <v>48</v>
      </c>
    </row>
    <row r="10" spans="1:7" x14ac:dyDescent="0.35">
      <c r="A10" s="11" t="s">
        <v>44</v>
      </c>
      <c r="B10" s="20">
        <f>D10-C10</f>
        <v>4.05</v>
      </c>
      <c r="C10" s="36">
        <f>D10*$G$5</f>
        <v>0.45</v>
      </c>
      <c r="D10" s="20">
        <v>4.5</v>
      </c>
    </row>
    <row r="11" spans="1:7" x14ac:dyDescent="0.35">
      <c r="A11" s="11" t="s">
        <v>49</v>
      </c>
      <c r="B11" s="20">
        <f t="shared" ref="B11:B13" si="2">D11-C11</f>
        <v>14.22</v>
      </c>
      <c r="C11" s="36">
        <f t="shared" ref="C11:C13" si="3">D11*$G$5</f>
        <v>1.58</v>
      </c>
      <c r="D11" s="20">
        <v>15.8</v>
      </c>
    </row>
    <row r="12" spans="1:7" x14ac:dyDescent="0.35">
      <c r="A12" s="11" t="s">
        <v>50</v>
      </c>
      <c r="B12" s="20">
        <f t="shared" si="2"/>
        <v>42.66</v>
      </c>
      <c r="C12" s="36">
        <f t="shared" si="3"/>
        <v>4.74</v>
      </c>
      <c r="D12" s="20">
        <v>47.4</v>
      </c>
    </row>
    <row r="13" spans="1:7" x14ac:dyDescent="0.35">
      <c r="A13" s="11" t="s">
        <v>51</v>
      </c>
      <c r="B13" s="20">
        <f t="shared" si="2"/>
        <v>11.7</v>
      </c>
      <c r="C13" s="36">
        <f t="shared" si="3"/>
        <v>1.3</v>
      </c>
      <c r="D13" s="20">
        <v>13</v>
      </c>
    </row>
    <row r="15" spans="1:7" x14ac:dyDescent="0.35">
      <c r="A15" s="23" t="s">
        <v>53</v>
      </c>
      <c r="B15" s="22" t="s">
        <v>46</v>
      </c>
      <c r="C15" s="22" t="s">
        <v>47</v>
      </c>
      <c r="D15" s="22" t="s">
        <v>48</v>
      </c>
    </row>
    <row r="16" spans="1:7" x14ac:dyDescent="0.35">
      <c r="A16" s="11" t="s">
        <v>44</v>
      </c>
      <c r="B16" s="20">
        <f>C16/$G$6</f>
        <v>34.615384615384613</v>
      </c>
      <c r="C16" s="20">
        <v>4.5</v>
      </c>
      <c r="D16" s="20">
        <f>SUM(B16:C16)</f>
        <v>39.115384615384613</v>
      </c>
    </row>
    <row r="17" spans="1:4" x14ac:dyDescent="0.35">
      <c r="A17" s="11" t="s">
        <v>49</v>
      </c>
      <c r="B17" s="20">
        <f t="shared" ref="B17:B19" si="4">C17/$G$6</f>
        <v>121.53846153846153</v>
      </c>
      <c r="C17" s="20">
        <v>15.8</v>
      </c>
      <c r="D17" s="20">
        <f t="shared" ref="D17:D19" si="5">SUM(B17:C17)</f>
        <v>137.33846153846153</v>
      </c>
    </row>
    <row r="18" spans="1:4" x14ac:dyDescent="0.35">
      <c r="A18" s="11" t="s">
        <v>50</v>
      </c>
      <c r="B18" s="20">
        <f t="shared" si="4"/>
        <v>364.61538461538458</v>
      </c>
      <c r="C18" s="20">
        <v>47.4</v>
      </c>
      <c r="D18" s="20">
        <f t="shared" si="5"/>
        <v>412.01538461538456</v>
      </c>
    </row>
    <row r="19" spans="1:4" x14ac:dyDescent="0.35">
      <c r="A19" s="11" t="s">
        <v>51</v>
      </c>
      <c r="B19" s="20">
        <f t="shared" si="4"/>
        <v>100</v>
      </c>
      <c r="C19" s="20">
        <v>13</v>
      </c>
      <c r="D19" s="20">
        <f t="shared" si="5"/>
        <v>113</v>
      </c>
    </row>
  </sheetData>
  <mergeCells count="1">
    <mergeCell ref="A1:E1"/>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CFE7-0506-4A28-9685-82F63D9181B9}">
  <dimension ref="A1:E13"/>
  <sheetViews>
    <sheetView workbookViewId="0">
      <selection activeCell="A11" sqref="A11"/>
    </sheetView>
  </sheetViews>
  <sheetFormatPr baseColWidth="10" defaultColWidth="11.453125" defaultRowHeight="15.5" x14ac:dyDescent="0.35"/>
  <cols>
    <col min="1" max="1" width="15.7265625" style="1" customWidth="1"/>
    <col min="2" max="2" width="15" style="1" bestFit="1" customWidth="1"/>
    <col min="3" max="3" width="13" style="1" bestFit="1" customWidth="1"/>
    <col min="4" max="5" width="11.453125" style="1"/>
    <col min="6" max="6" width="22.81640625" style="1" customWidth="1"/>
    <col min="7" max="16384" width="11.453125" style="1"/>
  </cols>
  <sheetData>
    <row r="1" spans="1:5" ht="32.25" customHeight="1" x14ac:dyDescent="0.35">
      <c r="A1" s="29" t="s">
        <v>73</v>
      </c>
      <c r="B1" s="28"/>
      <c r="C1" s="28"/>
      <c r="D1" s="28"/>
      <c r="E1" s="28"/>
    </row>
    <row r="3" spans="1:5" ht="16" thickBot="1" x14ac:dyDescent="0.4">
      <c r="A3" s="30" t="s">
        <v>68</v>
      </c>
      <c r="B3" s="30"/>
      <c r="C3" s="30"/>
      <c r="D3" s="30"/>
      <c r="E3" s="30"/>
    </row>
    <row r="4" spans="1:5" ht="16" thickBot="1" x14ac:dyDescent="0.4">
      <c r="A4" s="27">
        <f>300*0.6</f>
        <v>180</v>
      </c>
    </row>
    <row r="6" spans="1:5" ht="31.5" customHeight="1" thickBot="1" x14ac:dyDescent="0.4">
      <c r="A6" s="31" t="s">
        <v>69</v>
      </c>
      <c r="B6" s="30"/>
      <c r="C6" s="30"/>
      <c r="D6" s="30"/>
      <c r="E6" s="30"/>
    </row>
    <row r="7" spans="1:5" ht="16" thickBot="1" x14ac:dyDescent="0.4">
      <c r="A7" s="38">
        <f>24/150</f>
        <v>0.16</v>
      </c>
    </row>
    <row r="9" spans="1:5" ht="32.25" customHeight="1" thickBot="1" x14ac:dyDescent="0.4">
      <c r="A9" s="31" t="s">
        <v>71</v>
      </c>
      <c r="B9" s="31"/>
      <c r="C9" s="31"/>
      <c r="D9" s="31"/>
      <c r="E9" s="31"/>
    </row>
    <row r="10" spans="1:5" ht="16" thickBot="1" x14ac:dyDescent="0.4">
      <c r="A10" s="27">
        <f>9.99/1.2</f>
        <v>8.3250000000000011</v>
      </c>
    </row>
    <row r="12" spans="1:5" ht="33" customHeight="1" thickBot="1" x14ac:dyDescent="0.4">
      <c r="A12" s="31" t="s">
        <v>70</v>
      </c>
      <c r="B12" s="30"/>
      <c r="C12" s="30"/>
      <c r="D12" s="30"/>
      <c r="E12" s="30"/>
    </row>
    <row r="13" spans="1:5" ht="16" thickBot="1" x14ac:dyDescent="0.4">
      <c r="A13" s="27">
        <f>(245/100)*352</f>
        <v>862.40000000000009</v>
      </c>
    </row>
  </sheetData>
  <mergeCells count="5">
    <mergeCell ref="A1:E1"/>
    <mergeCell ref="A3:E3"/>
    <mergeCell ref="A6:E6"/>
    <mergeCell ref="A12:E12"/>
    <mergeCell ref="A9:E9"/>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AD044-404E-4CBE-891D-0E860334BAF7}">
  <dimension ref="A1:E11"/>
  <sheetViews>
    <sheetView tabSelected="1" zoomScale="70" zoomScaleNormal="70" workbookViewId="0">
      <selection activeCell="M12" sqref="M12"/>
    </sheetView>
  </sheetViews>
  <sheetFormatPr baseColWidth="10" defaultColWidth="11.453125" defaultRowHeight="15.5" x14ac:dyDescent="0.35"/>
  <cols>
    <col min="1" max="1" width="15.7265625" style="1" customWidth="1"/>
    <col min="2" max="2" width="15" style="1" bestFit="1" customWidth="1"/>
    <col min="3" max="3" width="13" style="1" bestFit="1" customWidth="1"/>
    <col min="4" max="4" width="11.453125" style="1"/>
    <col min="5" max="5" width="17.7265625" style="1" customWidth="1"/>
    <col min="6" max="6" width="22.81640625" style="1" customWidth="1"/>
    <col min="7" max="16384" width="11.453125" style="1"/>
  </cols>
  <sheetData>
    <row r="1" spans="1:5" ht="79.5" customHeight="1" x14ac:dyDescent="0.35">
      <c r="A1" s="29" t="s">
        <v>67</v>
      </c>
      <c r="B1" s="28"/>
      <c r="C1" s="28"/>
      <c r="D1" s="28"/>
      <c r="E1" s="28"/>
    </row>
    <row r="3" spans="1:5" ht="17.5" x14ac:dyDescent="0.35">
      <c r="A3" s="32" t="s">
        <v>55</v>
      </c>
      <c r="B3" s="32"/>
      <c r="C3" s="32"/>
      <c r="D3" s="32"/>
    </row>
    <row r="4" spans="1:5" x14ac:dyDescent="0.35">
      <c r="A4" s="26" t="s">
        <v>61</v>
      </c>
      <c r="B4" s="26" t="s">
        <v>56</v>
      </c>
      <c r="C4" s="26" t="s">
        <v>57</v>
      </c>
      <c r="D4" s="26" t="s">
        <v>58</v>
      </c>
    </row>
    <row r="5" spans="1:5" x14ac:dyDescent="0.35">
      <c r="A5" s="1" t="s">
        <v>59</v>
      </c>
      <c r="B5" s="1">
        <v>6500</v>
      </c>
      <c r="C5" s="1">
        <v>7290</v>
      </c>
      <c r="D5" s="1">
        <v>1911</v>
      </c>
    </row>
    <row r="6" spans="1:5" x14ac:dyDescent="0.35">
      <c r="A6" s="1" t="s">
        <v>60</v>
      </c>
      <c r="B6" s="1">
        <v>12355</v>
      </c>
      <c r="C6" s="1">
        <v>4867</v>
      </c>
      <c r="D6" s="1">
        <v>326</v>
      </c>
    </row>
    <row r="7" spans="1:5" x14ac:dyDescent="0.35">
      <c r="A7" s="1" t="s">
        <v>62</v>
      </c>
      <c r="B7" s="1">
        <v>1323</v>
      </c>
      <c r="C7" s="1">
        <v>542</v>
      </c>
      <c r="D7" s="1">
        <v>78</v>
      </c>
    </row>
    <row r="8" spans="1:5" x14ac:dyDescent="0.35">
      <c r="A8" s="1" t="s">
        <v>63</v>
      </c>
      <c r="B8" s="1">
        <v>2149</v>
      </c>
      <c r="C8" s="1">
        <v>634</v>
      </c>
      <c r="D8" s="1">
        <v>160</v>
      </c>
    </row>
    <row r="9" spans="1:5" x14ac:dyDescent="0.35">
      <c r="A9" s="1" t="s">
        <v>64</v>
      </c>
      <c r="B9" s="1">
        <v>2068</v>
      </c>
      <c r="C9" s="1">
        <v>469</v>
      </c>
      <c r="D9" s="1">
        <v>52</v>
      </c>
    </row>
    <row r="10" spans="1:5" ht="16" thickBot="1" x14ac:dyDescent="0.4">
      <c r="A10" s="1" t="s">
        <v>65</v>
      </c>
      <c r="B10" s="1">
        <v>521</v>
      </c>
      <c r="C10" s="1">
        <v>712</v>
      </c>
      <c r="D10" s="1">
        <v>144</v>
      </c>
    </row>
    <row r="11" spans="1:5" ht="16" thickBot="1" x14ac:dyDescent="0.4">
      <c r="A11" s="7" t="s">
        <v>66</v>
      </c>
      <c r="B11" s="25">
        <f>SUM(B5:B10)</f>
        <v>24916</v>
      </c>
      <c r="C11" s="25">
        <f t="shared" ref="C11:D11" si="0">SUM(C5:C10)</f>
        <v>14514</v>
      </c>
      <c r="D11" s="8">
        <f t="shared" si="0"/>
        <v>2671</v>
      </c>
    </row>
  </sheetData>
  <mergeCells count="2">
    <mergeCell ref="A1:E1"/>
    <mergeCell ref="A3:D3"/>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Berechnungen</vt:lpstr>
      <vt:lpstr>Berechnungen II</vt:lpstr>
      <vt:lpstr>Zellbezug</vt:lpstr>
      <vt:lpstr>Zellbezug Info</vt:lpstr>
      <vt:lpstr>Funktionen</vt:lpstr>
      <vt:lpstr>Bezüge</vt:lpstr>
      <vt:lpstr>Bezüge II</vt:lpstr>
      <vt:lpstr>Bezüge III</vt:lpstr>
      <vt:lpstr>Diagramm</vt:lpstr>
    </vt:vector>
  </TitlesOfParts>
  <Company>HTL Leoben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 Lube</dc:creator>
  <cp:lastModifiedBy>Pichler Matthias</cp:lastModifiedBy>
  <dcterms:created xsi:type="dcterms:W3CDTF">2020-09-23T10:38:49Z</dcterms:created>
  <dcterms:modified xsi:type="dcterms:W3CDTF">2025-09-10T12:35:54Z</dcterms:modified>
</cp:coreProperties>
</file>