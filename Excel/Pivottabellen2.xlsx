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chule\Schule\Infi excel\"/>
    </mc:Choice>
  </mc:AlternateContent>
  <xr:revisionPtr revIDLastSave="0" documentId="13_ncr:1_{9DE30749-7B84-439C-B811-EE652EECEC1C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Tab-Excel" sheetId="1" r:id="rId1"/>
    <sheet name="1_Art_Hersteller" sheetId="2" r:id="rId2"/>
    <sheet name="2_KTM" sheetId="3" r:id="rId3"/>
    <sheet name="3_Art_Hersteller" sheetId="4" r:id="rId4"/>
  </sheets>
  <definedNames>
    <definedName name="_xlnm._FilterDatabase" localSheetId="0" hidden="1">'Tab-Excel'!$A$1:$K$17</definedName>
    <definedName name="Fahradiso_3" localSheetId="0">'Tab-Excel'!$A$1:$K$17</definedName>
    <definedName name="_xlnm.Criteria" localSheetId="0">'Tab-Excel'!$A$23:$K$24</definedName>
    <definedName name="_xlnm.Extract" localSheetId="0">'Tab-Excel'!$A$25:$K$25</definedName>
  </definedName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E:\Privates\Berg- und Hüttenschule\7. Einheit - 28.10.03\Fahradiso-3.mdb" keepAlive="1" name="Fahradiso-3" type="5" refreshedVersion="1" savePassword="1" background="1" saveData="1">
    <dbPr connection="Provider=Microsoft.Jet.OLEDB.4.0;Password=&quot;&quot;;User ID=Admin;Data Source=E:\Privates\Berg- und Hüttenschule\7. Einheit - 28.10.03\Fahradiso-3.mdb;Mode=Share Deny Write;Extended Properties=&quot;&quot;;Jet OLEDB:System database=&quot;&quot;;Jet OLEDB:Registry Path=&quot;&quot;;Jet OLEDB:Database Password=&quot;&quot;;Jet OLEDB:Engine Type=4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" command="Fahrräder" commandType="3"/>
  </connection>
</connections>
</file>

<file path=xl/sharedStrings.xml><?xml version="1.0" encoding="utf-8"?>
<sst xmlns="http://schemas.openxmlformats.org/spreadsheetml/2006/main" count="151" uniqueCount="57">
  <si>
    <t>Hersteller</t>
  </si>
  <si>
    <t>Bezeichnung</t>
  </si>
  <si>
    <t>Art</t>
  </si>
  <si>
    <t>Typ</t>
  </si>
  <si>
    <t>Anschaffungspreis</t>
  </si>
  <si>
    <t>Anschaffungsdatum</t>
  </si>
  <si>
    <t>Letzte Wartung</t>
  </si>
  <si>
    <t>Sonderzubehör</t>
  </si>
  <si>
    <t>Preisgruppe</t>
  </si>
  <si>
    <t>Mountain-Bike</t>
  </si>
  <si>
    <t>Lenkertasche</t>
  </si>
  <si>
    <t>Nr.</t>
  </si>
  <si>
    <t>Rahmen</t>
  </si>
  <si>
    <t>Santa Cruz</t>
  </si>
  <si>
    <t>V10 CC X01</t>
  </si>
  <si>
    <t>Downhill-Bike</t>
  </si>
  <si>
    <t>V10 CC DH XO1 Oxblood and Fog</t>
  </si>
  <si>
    <t>Mondraker</t>
  </si>
  <si>
    <t>Summun Carbon Pro Team</t>
  </si>
  <si>
    <t>Summum Black -Dirty White</t>
  </si>
  <si>
    <t>Cube</t>
  </si>
  <si>
    <t>Reaction Hybrid Race</t>
  </si>
  <si>
    <t>E-Mountainbike</t>
  </si>
  <si>
    <t>21´´</t>
  </si>
  <si>
    <t>Acid 240 Hybrid Youth</t>
  </si>
  <si>
    <t>Giant</t>
  </si>
  <si>
    <t>Reign E+ 0 Pro PWR6</t>
  </si>
  <si>
    <t>Trance E+ 2 Pro</t>
  </si>
  <si>
    <t>Scott</t>
  </si>
  <si>
    <t>Scale 970</t>
  </si>
  <si>
    <t>Aspect 960</t>
  </si>
  <si>
    <t>Scale 24 Disc</t>
  </si>
  <si>
    <t>Satteltaschen</t>
  </si>
  <si>
    <t>KTM</t>
  </si>
  <si>
    <t>Peak XT</t>
  </si>
  <si>
    <t>Peak Air</t>
  </si>
  <si>
    <t>Myroon Alpha</t>
  </si>
  <si>
    <t>Korb vorne</t>
  </si>
  <si>
    <t>Citybike</t>
  </si>
  <si>
    <t>Excelsior</t>
  </si>
  <si>
    <t>Juicy</t>
  </si>
  <si>
    <t>Road Cruiser Alu</t>
  </si>
  <si>
    <t>19´´</t>
  </si>
  <si>
    <t>20´´</t>
  </si>
  <si>
    <t>18´´</t>
  </si>
  <si>
    <t>17´´</t>
  </si>
  <si>
    <t>22´´</t>
  </si>
  <si>
    <t>Propain</t>
  </si>
  <si>
    <t>TYEE AL</t>
  </si>
  <si>
    <t>Enduro</t>
  </si>
  <si>
    <t>TYRO 2 Al</t>
  </si>
  <si>
    <t>Spaltenbeschriftungen</t>
  </si>
  <si>
    <t>Gesamtergebnis</t>
  </si>
  <si>
    <t>Zeilenbeschriftungen</t>
  </si>
  <si>
    <t>Summe von Anschaffungspreis</t>
  </si>
  <si>
    <t>Details zu Summe von Anschaffungspreis – Hersteller: KTM</t>
  </si>
  <si>
    <t>Anzahl von Anschaffungspreis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</si>
</sst>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€&quot;\ * #,##0.00_-;\-&quot;€&quot;\ * #,##0.00_-;_-&quot;€&quot;\ * &quot;-&quot;??_-;_-@_-"/>
    <numFmt numFmtId="164" formatCode="#,##0.00\ &quot;€&quot;"/>
    <numFmt numFmtId="166" formatCode="_-* #,##0.00\ [$€-407]_-;\-* #,##0.00\ [$€-407]_-;_-* &quot;-&quot;??\ [$€-407]_-;_-@_-"/>
  </numFmts>
  <fonts count="6" x14ac:knownFonts="1">
    <font>
      <sz val="10"/>
      <name val="Arial"/>
    </font>
    <font>
      <sz val="10"/>
      <name val="Arial"/>
    </font>
    <font>
      <sz val="8"/>
      <name val="Arial"/>
    </font>
    <font>
      <b/>
      <sz val="12"/>
      <name val="Times New Roman"/>
      <family val="1"/>
    </font>
    <font>
      <sz val="12"/>
      <name val="Times New Roman"/>
      <family val="1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4" fontId="4" fillId="0" borderId="0" xfId="0" applyNumberFormat="1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1" applyNumberFormat="1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66" fontId="4" fillId="0" borderId="1" xfId="1" applyNumberFormat="1" applyFont="1" applyBorder="1" applyAlignment="1">
      <alignment horizontal="center"/>
    </xf>
    <xf numFmtId="166" fontId="4" fillId="0" borderId="1" xfId="1" applyNumberFormat="1" applyFont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0" fontId="5" fillId="0" borderId="0" xfId="0" applyFont="1"/>
  </cellXfs>
  <cellStyles count="2">
    <cellStyle name="Standard" xfId="0" builtinId="0"/>
    <cellStyle name="Währung" xfId="1" builtinId="4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608013541663" createdVersion="8" refreshedVersion="8" minRefreshableVersion="3" recordCount="18" xr:uid="{FC64EABC-78C9-48AC-9E4A-F2CDD15CF919}">
  <cacheSource type="worksheet">
    <worksheetSource ref="A1:K19" sheet="Tab-Excel"/>
  </cacheSource>
  <cacheFields count="11">
    <cacheField name="Nr." numFmtId="0">
      <sharedItems containsSemiMixedTypes="0" containsString="0" containsNumber="1" containsInteger="1" minValue="1" maxValue="18"/>
    </cacheField>
    <cacheField name="Hersteller" numFmtId="0">
      <sharedItems count="8">
        <s v="Santa Cruz"/>
        <s v="Scott"/>
        <s v="KTM"/>
        <s v="Cube"/>
        <s v="Mondraker"/>
        <s v="Excelsior"/>
        <s v="Giant"/>
        <s v="Propain"/>
      </sharedItems>
    </cacheField>
    <cacheField name="Bezeichnung" numFmtId="0">
      <sharedItems/>
    </cacheField>
    <cacheField name="Art" numFmtId="0">
      <sharedItems count="5">
        <s v="Downhill-Bike"/>
        <s v="Mountain-Bike"/>
        <s v="E-Mountainbike"/>
        <s v="Citybike"/>
        <s v="Enduro"/>
      </sharedItems>
    </cacheField>
    <cacheField name="Typ" numFmtId="0">
      <sharedItems containsSemiMixedTypes="0" containsString="0" containsNumber="1" containsInteger="1" minValue="2" maxValue="5"/>
    </cacheField>
    <cacheField name="Rahmen" numFmtId="0">
      <sharedItems/>
    </cacheField>
    <cacheField name="Anschaffungspreis" numFmtId="0">
      <sharedItems containsSemiMixedTypes="0" containsString="0" containsNumber="1" minValue="350" maxValue="8570.23" count="17">
        <n v="8570.23"/>
        <n v="1071.29"/>
        <n v="486.42"/>
        <n v="799.99"/>
        <n v="2999"/>
        <n v="899.99"/>
        <n v="1699"/>
        <n v="6817.03"/>
        <n v="8278.0300000000007"/>
        <n v="549"/>
        <n v="1990"/>
        <n v="418.18"/>
        <n v="7419"/>
        <n v="350"/>
        <n v="7699"/>
        <n v="4499"/>
        <n v="3499"/>
      </sharedItems>
    </cacheField>
    <cacheField name="Anschaffungsdatum" numFmtId="14">
      <sharedItems containsSemiMixedTypes="0" containsNonDate="0" containsDate="1" containsString="0" minDate="2009-12-23T00:00:00" maxDate="2024-04-25T00:00:00"/>
    </cacheField>
    <cacheField name="Letzte Wartung" numFmtId="14">
      <sharedItems containsSemiMixedTypes="0" containsNonDate="0" containsDate="1" containsString="0" minDate="2020-02-04T00:00:00" maxDate="2024-04-25T00:00:00"/>
    </cacheField>
    <cacheField name="Sonderzubehör" numFmtId="0">
      <sharedItems containsBlank="1"/>
    </cacheField>
    <cacheField name="Preisgruppe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1"/>
    <x v="0"/>
    <s v="V10 CC X01"/>
    <x v="0"/>
    <n v="5"/>
    <s v="21´´"/>
    <x v="0"/>
    <d v="2017-05-02T00:00:00"/>
    <d v="2020-02-04T00:00:00"/>
    <m/>
    <n v="1"/>
  </r>
  <r>
    <n v="2"/>
    <x v="1"/>
    <s v="Scale 970"/>
    <x v="1"/>
    <n v="3"/>
    <s v="19´´"/>
    <x v="1"/>
    <d v="2017-05-02T00:00:00"/>
    <d v="2020-05-08T00:00:00"/>
    <m/>
    <n v="3"/>
  </r>
  <r>
    <n v="3"/>
    <x v="1"/>
    <s v="Aspect 960"/>
    <x v="1"/>
    <n v="3"/>
    <s v="20´´"/>
    <x v="2"/>
    <d v="2018-08-07T00:00:00"/>
    <d v="2020-09-07T00:00:00"/>
    <s v="Lenkertasche"/>
    <n v="4"/>
  </r>
  <r>
    <n v="4"/>
    <x v="2"/>
    <s v="Peak XT"/>
    <x v="1"/>
    <n v="3"/>
    <s v="18´´"/>
    <x v="3"/>
    <d v="2018-08-07T00:00:00"/>
    <d v="2020-09-13T00:00:00"/>
    <m/>
    <n v="3"/>
  </r>
  <r>
    <n v="5"/>
    <x v="3"/>
    <s v="Reaction Hybrid Race"/>
    <x v="2"/>
    <n v="4"/>
    <s v="17´´"/>
    <x v="4"/>
    <d v="2020-03-20T00:00:00"/>
    <d v="2020-03-24T00:00:00"/>
    <s v="Lenkertasche"/>
    <n v="2"/>
  </r>
  <r>
    <n v="6"/>
    <x v="2"/>
    <s v="Peak Air"/>
    <x v="1"/>
    <n v="3"/>
    <s v="17´´"/>
    <x v="5"/>
    <d v="2019-04-20T00:00:00"/>
    <d v="2020-07-25T00:00:00"/>
    <s v="Satteltaschen"/>
    <n v="3"/>
  </r>
  <r>
    <n v="7"/>
    <x v="2"/>
    <s v="Myroon Alpha"/>
    <x v="1"/>
    <n v="3"/>
    <s v="19´´"/>
    <x v="6"/>
    <d v="2019-08-16T00:00:00"/>
    <d v="2020-09-14T00:00:00"/>
    <m/>
    <n v="3"/>
  </r>
  <r>
    <n v="8"/>
    <x v="4"/>
    <s v="Summum Black -Dirty White"/>
    <x v="0"/>
    <n v="5"/>
    <s v="20´´"/>
    <x v="7"/>
    <d v="2020-08-29T00:00:00"/>
    <d v="2020-03-17T00:00:00"/>
    <m/>
    <n v="1"/>
  </r>
  <r>
    <n v="9"/>
    <x v="0"/>
    <s v="V10 CC DH XO1 Oxblood and Fog"/>
    <x v="0"/>
    <n v="5"/>
    <s v="21´´"/>
    <x v="8"/>
    <d v="2017-05-02T00:00:00"/>
    <d v="2020-02-04T00:00:00"/>
    <m/>
    <n v="1"/>
  </r>
  <r>
    <n v="10"/>
    <x v="5"/>
    <s v="Juicy"/>
    <x v="3"/>
    <n v="4"/>
    <s v="18´´"/>
    <x v="9"/>
    <d v="2017-05-02T00:00:00"/>
    <d v="2020-05-08T00:00:00"/>
    <s v="Korb vorne"/>
    <n v="4"/>
  </r>
  <r>
    <n v="11"/>
    <x v="3"/>
    <s v="Acid 240 Hybrid Youth"/>
    <x v="2"/>
    <n v="4"/>
    <s v="22´´"/>
    <x v="10"/>
    <d v="2018-08-07T00:00:00"/>
    <d v="2020-09-07T00:00:00"/>
    <s v="Lenkertasche"/>
    <n v="2"/>
  </r>
  <r>
    <n v="12"/>
    <x v="1"/>
    <s v="Scale 24 Disc"/>
    <x v="1"/>
    <n v="3"/>
    <s v="21´´"/>
    <x v="11"/>
    <d v="2018-08-07T00:00:00"/>
    <d v="2020-09-13T00:00:00"/>
    <s v="Satteltaschen"/>
    <n v="2"/>
  </r>
  <r>
    <n v="13"/>
    <x v="4"/>
    <s v="Summun Carbon Pro Team"/>
    <x v="0"/>
    <n v="5"/>
    <s v="18´´"/>
    <x v="12"/>
    <d v="2019-03-20T00:00:00"/>
    <d v="2020-03-24T00:00:00"/>
    <m/>
    <n v="1"/>
  </r>
  <r>
    <n v="14"/>
    <x v="5"/>
    <s v="Road Cruiser Alu"/>
    <x v="3"/>
    <n v="4"/>
    <s v="18´´"/>
    <x v="13"/>
    <d v="2019-04-20T00:00:00"/>
    <d v="2020-07-25T00:00:00"/>
    <s v="Korb vorne"/>
    <n v="4"/>
  </r>
  <r>
    <n v="15"/>
    <x v="6"/>
    <s v="Reign E+ 0 Pro PWR6"/>
    <x v="2"/>
    <n v="4"/>
    <s v="20´´"/>
    <x v="14"/>
    <d v="2019-08-16T00:00:00"/>
    <d v="2020-09-14T00:00:00"/>
    <m/>
    <n v="2"/>
  </r>
  <r>
    <n v="16"/>
    <x v="6"/>
    <s v="Trance E+ 2 Pro"/>
    <x v="2"/>
    <n v="4"/>
    <s v="20´´"/>
    <x v="15"/>
    <d v="2020-08-29T00:00:00"/>
    <d v="2020-03-17T00:00:00"/>
    <m/>
    <n v="2"/>
  </r>
  <r>
    <n v="17"/>
    <x v="7"/>
    <s v="TYEE AL"/>
    <x v="4"/>
    <n v="3"/>
    <s v="20´´"/>
    <x v="4"/>
    <d v="2024-04-24T00:00:00"/>
    <d v="2024-04-24T00:00:00"/>
    <m/>
    <n v="3"/>
  </r>
  <r>
    <n v="18"/>
    <x v="7"/>
    <s v="TYRO 2 Al"/>
    <x v="0"/>
    <n v="2"/>
    <s v="18´´"/>
    <x v="16"/>
    <d v="2009-12-23T00:00:00"/>
    <d v="2020-07-04T00:00:00"/>
    <m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FE99D-8205-45D1-A584-B896E9C45C8C}" name="PivotTable1" cacheId="6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compact="0" outline="1" outlineData="1" compactData="0" multipleFieldFilters="0">
  <location ref="A3:G13" firstHeaderRow="1" firstDataRow="2" firstDataCol="1"/>
  <pivotFields count="11">
    <pivotField compact="0" showAll="0"/>
    <pivotField axis="axisRow" compact="0" showAll="0">
      <items count="9">
        <item x="3"/>
        <item x="5"/>
        <item x="6"/>
        <item x="2"/>
        <item x="4"/>
        <item x="7"/>
        <item x="0"/>
        <item x="1"/>
        <item t="default"/>
      </items>
    </pivotField>
    <pivotField compact="0" showAll="0"/>
    <pivotField axis="axisCol" compact="0" showAll="0">
      <items count="6">
        <item x="3"/>
        <item x="0"/>
        <item x="2"/>
        <item x="4"/>
        <item x="1"/>
        <item t="default"/>
      </items>
    </pivotField>
    <pivotField compact="0" showAll="0"/>
    <pivotField compact="0" showAll="0"/>
    <pivotField dataField="1" compact="0" showAll="0">
      <items count="18">
        <item x="13"/>
        <item x="11"/>
        <item x="2"/>
        <item x="9"/>
        <item x="3"/>
        <item x="5"/>
        <item x="1"/>
        <item x="6"/>
        <item x="10"/>
        <item x="4"/>
        <item x="16"/>
        <item x="15"/>
        <item x="7"/>
        <item x="12"/>
        <item x="14"/>
        <item x="8"/>
        <item x="0"/>
        <item t="default"/>
      </items>
    </pivotField>
    <pivotField compact="0" numFmtId="14" showAll="0"/>
    <pivotField compact="0" numFmtId="14" showAll="0"/>
    <pivotField compact="0" showAll="0"/>
    <pivotField compact="0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me von Anschaffungsprei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3181C9-0268-4876-A898-F09CCA58A911}" name="PivotTable2" cacheId="6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G13" firstHeaderRow="1" firstDataRow="2" firstDataCol="1"/>
  <pivotFields count="11">
    <pivotField showAll="0"/>
    <pivotField axis="axisRow" showAll="0">
      <items count="9">
        <item x="3"/>
        <item x="5"/>
        <item x="6"/>
        <item x="2"/>
        <item x="4"/>
        <item x="7"/>
        <item x="0"/>
        <item x="1"/>
        <item t="default"/>
      </items>
    </pivotField>
    <pivotField showAll="0"/>
    <pivotField axis="axisCol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dataField="1" showAll="0"/>
    <pivotField numFmtId="14" showAll="0"/>
    <pivotField numFmtId="14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nzahl von Anschaffungspreis" fld="6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ahradiso-3" connectionId="1" xr16:uid="{00000000-0016-0000-0000-000000000000}" autoFormatId="0" applyNumberFormats="0" applyBorderFormats="0" applyFontFormats="1" applyPatternFormats="1" applyAlignmentFormats="0" applyWidthHeightFormats="0">
  <queryTableRefresh nextId="12">
    <queryTableFields count="11">
      <queryTableField id="1" name="Fahrradnummer"/>
      <queryTableField id="2" name="Hersteller"/>
      <queryTableField id="3" name="Bezeichnung"/>
      <queryTableField id="4" name="Art"/>
      <queryTableField id="5" name="Typ"/>
      <queryTableField id="6" name="Rahmengröße"/>
      <queryTableField id="7" name="Anschaffungspreis"/>
      <queryTableField id="8" name="Anschaffungsdatum"/>
      <queryTableField id="9" name="Letzte Wartung"/>
      <queryTableField id="10" name="Sonderzubehör"/>
      <queryTableField id="11" name="Preisgruppe"/>
    </queryTableFields>
  </queryTableRefresh>
</queryTable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72EC0E-E99C-4C24-A19B-DCA3ACEEB473}" name="Tabelle1" displayName="Tabelle1" ref="A3:K6" totalsRowShown="0">
  <autoFilter ref="A3:K6" xr:uid="{3572EC0E-E99C-4C24-A19B-DCA3ACEEB473}"/>
  <tableColumns count="11">
    <tableColumn id="1" xr3:uid="{AAE93D10-23B4-42CC-943D-69455815B324}" name="Nr."/>
    <tableColumn id="2" xr3:uid="{E07C5AB4-5649-495D-A335-170C6F40956A}" name="Hersteller"/>
    <tableColumn id="3" xr3:uid="{44BC1425-98A6-455A-9CB3-B7441423C8E8}" name="Bezeichnung"/>
    <tableColumn id="4" xr3:uid="{32C5654F-7870-476A-8315-201068E4B455}" name="Art"/>
    <tableColumn id="5" xr3:uid="{CEC841DF-DA81-4913-B85E-014AC96FED31}" name="Typ"/>
    <tableColumn id="6" xr3:uid="{D4BF7ECD-6191-4ACD-857F-34DA710D6D25}" name="Rahmen"/>
    <tableColumn id="7" xr3:uid="{B2A97189-41B9-4E0B-B825-DF0D2BF005F6}" name="Anschaffungspreis"/>
    <tableColumn id="8" xr3:uid="{EF9F7C0E-A78D-4362-A724-88C915532043}" name="Anschaffungsdatum" dataDxfId="1"/>
    <tableColumn id="9" xr3:uid="{0EB156DC-94C3-4851-9948-D67F1625FE87}" name="Letzte Wartung" dataDxfId="0"/>
    <tableColumn id="10" xr3:uid="{F361FC87-57EE-493F-8E42-B3A3CEC5D8B0}" name="Sonderzubehör"/>
    <tableColumn id="11" xr3:uid="{42766BB1-15C6-44C4-8716-F2D381B66655}" name="Preisgrup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zoomScale="76" zoomScaleNormal="130" workbookViewId="0">
      <selection activeCell="L21" sqref="L21"/>
    </sheetView>
  </sheetViews>
  <sheetFormatPr baseColWidth="10" defaultColWidth="11.453125" defaultRowHeight="15.5" x14ac:dyDescent="0.35"/>
  <cols>
    <col min="1" max="1" width="4.1796875" style="3" bestFit="1" customWidth="1"/>
    <col min="2" max="2" width="10.7265625" style="3" customWidth="1"/>
    <col min="3" max="3" width="34.453125" style="3" bestFit="1" customWidth="1"/>
    <col min="4" max="4" width="15.7265625" style="3" bestFit="1" customWidth="1"/>
    <col min="5" max="5" width="4.7265625" style="4" bestFit="1" customWidth="1"/>
    <col min="6" max="6" width="9" style="4" bestFit="1" customWidth="1"/>
    <col min="7" max="7" width="18.7265625" style="4" bestFit="1" customWidth="1"/>
    <col min="8" max="8" width="19.81640625" style="4" bestFit="1" customWidth="1"/>
    <col min="9" max="9" width="15.81640625" style="4" bestFit="1" customWidth="1"/>
    <col min="10" max="10" width="15.1796875" style="3" bestFit="1" customWidth="1"/>
    <col min="11" max="11" width="12.453125" style="4" bestFit="1" customWidth="1"/>
    <col min="12" max="16384" width="11.453125" style="3"/>
  </cols>
  <sheetData>
    <row r="1" spans="1:13" x14ac:dyDescent="0.35">
      <c r="A1" s="6" t="s">
        <v>11</v>
      </c>
      <c r="B1" s="6" t="s">
        <v>0</v>
      </c>
      <c r="C1" s="6" t="s">
        <v>1</v>
      </c>
      <c r="D1" s="6" t="s">
        <v>2</v>
      </c>
      <c r="E1" s="7" t="s">
        <v>3</v>
      </c>
      <c r="F1" s="7" t="s">
        <v>12</v>
      </c>
      <c r="G1" s="7" t="s">
        <v>4</v>
      </c>
      <c r="H1" s="7" t="s">
        <v>5</v>
      </c>
      <c r="I1" s="7" t="s">
        <v>6</v>
      </c>
      <c r="J1" s="6" t="s">
        <v>7</v>
      </c>
      <c r="K1" s="7" t="s">
        <v>8</v>
      </c>
    </row>
    <row r="2" spans="1:13" x14ac:dyDescent="0.35">
      <c r="A2" s="8">
        <v>1</v>
      </c>
      <c r="B2" s="8" t="s">
        <v>13</v>
      </c>
      <c r="C2" s="8" t="s">
        <v>14</v>
      </c>
      <c r="D2" s="8" t="s">
        <v>15</v>
      </c>
      <c r="E2" s="9">
        <v>5</v>
      </c>
      <c r="F2" s="9" t="s">
        <v>23</v>
      </c>
      <c r="G2" s="10">
        <v>8570.23</v>
      </c>
      <c r="H2" s="11">
        <v>42857</v>
      </c>
      <c r="I2" s="11">
        <v>43865</v>
      </c>
      <c r="J2" s="8"/>
      <c r="K2" s="9">
        <v>1</v>
      </c>
      <c r="M2" s="5"/>
    </row>
    <row r="3" spans="1:13" x14ac:dyDescent="0.35">
      <c r="A3" s="8">
        <v>2</v>
      </c>
      <c r="B3" s="8" t="s">
        <v>28</v>
      </c>
      <c r="C3" s="8" t="s">
        <v>29</v>
      </c>
      <c r="D3" s="8" t="s">
        <v>9</v>
      </c>
      <c r="E3" s="9">
        <v>3</v>
      </c>
      <c r="F3" s="9" t="s">
        <v>42</v>
      </c>
      <c r="G3" s="10">
        <v>1071.29</v>
      </c>
      <c r="H3" s="11">
        <v>42857</v>
      </c>
      <c r="I3" s="11">
        <v>43959</v>
      </c>
      <c r="J3" s="8"/>
      <c r="K3" s="9">
        <v>3</v>
      </c>
    </row>
    <row r="4" spans="1:13" x14ac:dyDescent="0.35">
      <c r="A4" s="8">
        <v>3</v>
      </c>
      <c r="B4" s="8" t="s">
        <v>28</v>
      </c>
      <c r="C4" s="8" t="s">
        <v>30</v>
      </c>
      <c r="D4" s="8" t="s">
        <v>9</v>
      </c>
      <c r="E4" s="9">
        <v>3</v>
      </c>
      <c r="F4" s="9" t="s">
        <v>43</v>
      </c>
      <c r="G4" s="10">
        <v>486.42</v>
      </c>
      <c r="H4" s="11">
        <v>43319</v>
      </c>
      <c r="I4" s="11">
        <v>44081</v>
      </c>
      <c r="J4" s="8" t="s">
        <v>10</v>
      </c>
      <c r="K4" s="9">
        <v>4</v>
      </c>
    </row>
    <row r="5" spans="1:13" x14ac:dyDescent="0.35">
      <c r="A5" s="8">
        <v>4</v>
      </c>
      <c r="B5" s="8" t="s">
        <v>33</v>
      </c>
      <c r="C5" s="8" t="s">
        <v>34</v>
      </c>
      <c r="D5" s="8" t="s">
        <v>9</v>
      </c>
      <c r="E5" s="9">
        <v>3</v>
      </c>
      <c r="F5" s="9" t="s">
        <v>44</v>
      </c>
      <c r="G5" s="10">
        <v>799.99</v>
      </c>
      <c r="H5" s="11">
        <v>43319</v>
      </c>
      <c r="I5" s="11">
        <v>44087</v>
      </c>
      <c r="J5" s="8"/>
      <c r="K5" s="9">
        <v>3</v>
      </c>
    </row>
    <row r="6" spans="1:13" x14ac:dyDescent="0.35">
      <c r="A6" s="8">
        <v>5</v>
      </c>
      <c r="B6" s="8" t="s">
        <v>20</v>
      </c>
      <c r="C6" s="8" t="s">
        <v>21</v>
      </c>
      <c r="D6" s="8" t="s">
        <v>22</v>
      </c>
      <c r="E6" s="9">
        <v>4</v>
      </c>
      <c r="F6" s="9" t="s">
        <v>45</v>
      </c>
      <c r="G6" s="10">
        <v>2999</v>
      </c>
      <c r="H6" s="11">
        <v>43910</v>
      </c>
      <c r="I6" s="11">
        <v>43914</v>
      </c>
      <c r="J6" s="8" t="s">
        <v>10</v>
      </c>
      <c r="K6" s="9">
        <v>2</v>
      </c>
    </row>
    <row r="7" spans="1:13" x14ac:dyDescent="0.35">
      <c r="A7" s="8">
        <v>6</v>
      </c>
      <c r="B7" s="8" t="s">
        <v>33</v>
      </c>
      <c r="C7" s="8" t="s">
        <v>35</v>
      </c>
      <c r="D7" s="8" t="s">
        <v>9</v>
      </c>
      <c r="E7" s="9">
        <v>3</v>
      </c>
      <c r="F7" s="9" t="s">
        <v>45</v>
      </c>
      <c r="G7" s="10">
        <v>899.99</v>
      </c>
      <c r="H7" s="11">
        <v>43575</v>
      </c>
      <c r="I7" s="11">
        <v>44037</v>
      </c>
      <c r="J7" s="8" t="s">
        <v>32</v>
      </c>
      <c r="K7" s="9">
        <v>3</v>
      </c>
    </row>
    <row r="8" spans="1:13" x14ac:dyDescent="0.35">
      <c r="A8" s="8">
        <v>7</v>
      </c>
      <c r="B8" s="8" t="s">
        <v>33</v>
      </c>
      <c r="C8" s="8" t="s">
        <v>36</v>
      </c>
      <c r="D8" s="8" t="s">
        <v>9</v>
      </c>
      <c r="E8" s="9">
        <v>3</v>
      </c>
      <c r="F8" s="9" t="s">
        <v>42</v>
      </c>
      <c r="G8" s="10">
        <v>1699</v>
      </c>
      <c r="H8" s="11">
        <v>43693</v>
      </c>
      <c r="I8" s="11">
        <v>44088</v>
      </c>
      <c r="J8" s="8"/>
      <c r="K8" s="9">
        <v>3</v>
      </c>
    </row>
    <row r="9" spans="1:13" x14ac:dyDescent="0.35">
      <c r="A9" s="8">
        <v>8</v>
      </c>
      <c r="B9" s="8" t="s">
        <v>17</v>
      </c>
      <c r="C9" s="8" t="s">
        <v>19</v>
      </c>
      <c r="D9" s="8" t="s">
        <v>15</v>
      </c>
      <c r="E9" s="9">
        <v>5</v>
      </c>
      <c r="F9" s="9" t="s">
        <v>43</v>
      </c>
      <c r="G9" s="10">
        <v>6817.03</v>
      </c>
      <c r="H9" s="11">
        <v>44072</v>
      </c>
      <c r="I9" s="11">
        <v>43907</v>
      </c>
      <c r="J9" s="8"/>
      <c r="K9" s="9">
        <v>1</v>
      </c>
    </row>
    <row r="10" spans="1:13" x14ac:dyDescent="0.35">
      <c r="A10" s="8">
        <v>9</v>
      </c>
      <c r="B10" s="8" t="s">
        <v>13</v>
      </c>
      <c r="C10" s="8" t="s">
        <v>16</v>
      </c>
      <c r="D10" s="8" t="s">
        <v>15</v>
      </c>
      <c r="E10" s="9">
        <v>5</v>
      </c>
      <c r="F10" s="9" t="s">
        <v>23</v>
      </c>
      <c r="G10" s="10">
        <v>8278.0300000000007</v>
      </c>
      <c r="H10" s="11">
        <v>42857</v>
      </c>
      <c r="I10" s="11">
        <v>43865</v>
      </c>
      <c r="J10" s="8"/>
      <c r="K10" s="9">
        <v>1</v>
      </c>
    </row>
    <row r="11" spans="1:13" x14ac:dyDescent="0.35">
      <c r="A11" s="8">
        <v>10</v>
      </c>
      <c r="B11" s="8" t="s">
        <v>39</v>
      </c>
      <c r="C11" s="8" t="s">
        <v>40</v>
      </c>
      <c r="D11" s="8" t="s">
        <v>38</v>
      </c>
      <c r="E11" s="9">
        <v>4</v>
      </c>
      <c r="F11" s="9" t="s">
        <v>44</v>
      </c>
      <c r="G11" s="10">
        <v>549</v>
      </c>
      <c r="H11" s="11">
        <v>42857</v>
      </c>
      <c r="I11" s="11">
        <v>43959</v>
      </c>
      <c r="J11" s="8" t="s">
        <v>37</v>
      </c>
      <c r="K11" s="9">
        <v>4</v>
      </c>
    </row>
    <row r="12" spans="1:13" x14ac:dyDescent="0.35">
      <c r="A12" s="8">
        <v>11</v>
      </c>
      <c r="B12" s="8" t="s">
        <v>20</v>
      </c>
      <c r="C12" s="8" t="s">
        <v>24</v>
      </c>
      <c r="D12" s="8" t="s">
        <v>22</v>
      </c>
      <c r="E12" s="9">
        <v>4</v>
      </c>
      <c r="F12" s="9" t="s">
        <v>46</v>
      </c>
      <c r="G12" s="10">
        <v>1990</v>
      </c>
      <c r="H12" s="11">
        <v>43319</v>
      </c>
      <c r="I12" s="11">
        <v>44081</v>
      </c>
      <c r="J12" s="8" t="s">
        <v>10</v>
      </c>
      <c r="K12" s="9">
        <v>2</v>
      </c>
    </row>
    <row r="13" spans="1:13" x14ac:dyDescent="0.35">
      <c r="A13" s="8">
        <v>12</v>
      </c>
      <c r="B13" s="8" t="s">
        <v>28</v>
      </c>
      <c r="C13" s="8" t="s">
        <v>31</v>
      </c>
      <c r="D13" s="8" t="s">
        <v>9</v>
      </c>
      <c r="E13" s="9">
        <v>3</v>
      </c>
      <c r="F13" s="9" t="s">
        <v>23</v>
      </c>
      <c r="G13" s="10">
        <v>418.18</v>
      </c>
      <c r="H13" s="11">
        <v>43319</v>
      </c>
      <c r="I13" s="11">
        <v>44087</v>
      </c>
      <c r="J13" s="8" t="s">
        <v>32</v>
      </c>
      <c r="K13" s="9">
        <v>2</v>
      </c>
    </row>
    <row r="14" spans="1:13" x14ac:dyDescent="0.35">
      <c r="A14" s="8">
        <v>13</v>
      </c>
      <c r="B14" s="8" t="s">
        <v>17</v>
      </c>
      <c r="C14" s="8" t="s">
        <v>18</v>
      </c>
      <c r="D14" s="8" t="s">
        <v>15</v>
      </c>
      <c r="E14" s="9">
        <v>5</v>
      </c>
      <c r="F14" s="9" t="s">
        <v>44</v>
      </c>
      <c r="G14" s="10">
        <v>7419</v>
      </c>
      <c r="H14" s="11">
        <v>43544</v>
      </c>
      <c r="I14" s="11">
        <v>43914</v>
      </c>
      <c r="J14" s="8"/>
      <c r="K14" s="9">
        <v>1</v>
      </c>
    </row>
    <row r="15" spans="1:13" x14ac:dyDescent="0.35">
      <c r="A15" s="8">
        <v>14</v>
      </c>
      <c r="B15" s="8" t="s">
        <v>39</v>
      </c>
      <c r="C15" s="8" t="s">
        <v>41</v>
      </c>
      <c r="D15" s="8" t="s">
        <v>38</v>
      </c>
      <c r="E15" s="9">
        <v>4</v>
      </c>
      <c r="F15" s="9" t="s">
        <v>44</v>
      </c>
      <c r="G15" s="10">
        <v>350</v>
      </c>
      <c r="H15" s="11">
        <v>43575</v>
      </c>
      <c r="I15" s="11">
        <v>44037</v>
      </c>
      <c r="J15" s="8" t="s">
        <v>37</v>
      </c>
      <c r="K15" s="9">
        <v>4</v>
      </c>
    </row>
    <row r="16" spans="1:13" x14ac:dyDescent="0.35">
      <c r="A16" s="8">
        <v>15</v>
      </c>
      <c r="B16" s="8" t="s">
        <v>25</v>
      </c>
      <c r="C16" s="8" t="s">
        <v>26</v>
      </c>
      <c r="D16" s="8" t="s">
        <v>22</v>
      </c>
      <c r="E16" s="9">
        <v>4</v>
      </c>
      <c r="F16" s="9" t="s">
        <v>43</v>
      </c>
      <c r="G16" s="10">
        <v>7699</v>
      </c>
      <c r="H16" s="11">
        <v>43693</v>
      </c>
      <c r="I16" s="11">
        <v>44088</v>
      </c>
      <c r="J16" s="8"/>
      <c r="K16" s="9">
        <v>2</v>
      </c>
    </row>
    <row r="17" spans="1:11" x14ac:dyDescent="0.35">
      <c r="A17" s="8">
        <v>16</v>
      </c>
      <c r="B17" s="8" t="s">
        <v>25</v>
      </c>
      <c r="C17" s="8" t="s">
        <v>27</v>
      </c>
      <c r="D17" s="8" t="s">
        <v>22</v>
      </c>
      <c r="E17" s="9">
        <v>4</v>
      </c>
      <c r="F17" s="9" t="s">
        <v>43</v>
      </c>
      <c r="G17" s="10">
        <v>4499</v>
      </c>
      <c r="H17" s="11">
        <v>44072</v>
      </c>
      <c r="I17" s="11">
        <v>43907</v>
      </c>
      <c r="J17" s="8"/>
      <c r="K17" s="9">
        <v>2</v>
      </c>
    </row>
    <row r="18" spans="1:11" x14ac:dyDescent="0.35">
      <c r="A18" s="8">
        <v>17</v>
      </c>
      <c r="B18" s="8" t="s">
        <v>47</v>
      </c>
      <c r="C18" s="8" t="s">
        <v>48</v>
      </c>
      <c r="D18" s="8" t="s">
        <v>49</v>
      </c>
      <c r="E18" s="9">
        <v>3</v>
      </c>
      <c r="F18" s="9" t="s">
        <v>43</v>
      </c>
      <c r="G18" s="12">
        <v>2999</v>
      </c>
      <c r="H18" s="11">
        <v>45406</v>
      </c>
      <c r="I18" s="11">
        <v>45406</v>
      </c>
      <c r="J18" s="8"/>
      <c r="K18" s="9">
        <v>3</v>
      </c>
    </row>
    <row r="19" spans="1:11" x14ac:dyDescent="0.35">
      <c r="A19" s="8">
        <v>18</v>
      </c>
      <c r="B19" s="8" t="s">
        <v>47</v>
      </c>
      <c r="C19" s="8" t="s">
        <v>50</v>
      </c>
      <c r="D19" s="8" t="s">
        <v>15</v>
      </c>
      <c r="E19" s="9">
        <v>2</v>
      </c>
      <c r="F19" s="9" t="s">
        <v>44</v>
      </c>
      <c r="G19" s="13">
        <v>3499</v>
      </c>
      <c r="H19" s="11">
        <v>40170</v>
      </c>
      <c r="I19" s="11">
        <v>44016</v>
      </c>
      <c r="J19" s="8"/>
      <c r="K19" s="9">
        <v>1</v>
      </c>
    </row>
    <row r="20" spans="1:11" x14ac:dyDescent="0.35">
      <c r="A20" s="1"/>
      <c r="B20" s="1"/>
      <c r="C20" s="1"/>
      <c r="D20" s="1"/>
      <c r="E20" s="2"/>
      <c r="F20" s="2"/>
      <c r="G20" s="2"/>
      <c r="H20" s="2"/>
      <c r="I20" s="2"/>
      <c r="K20" s="2"/>
    </row>
    <row r="21" spans="1:11" x14ac:dyDescent="0.35">
      <c r="A21" s="1"/>
      <c r="B21" s="1"/>
      <c r="C21" s="1"/>
      <c r="F21" s="2"/>
      <c r="G21" s="2"/>
      <c r="H21" s="2"/>
      <c r="I21" s="2"/>
      <c r="K21" s="2"/>
    </row>
    <row r="22" spans="1:11" x14ac:dyDescent="0.35">
      <c r="A22" s="1"/>
      <c r="B22" s="1"/>
      <c r="C22" s="1"/>
      <c r="D22" s="1"/>
      <c r="E22" s="2"/>
      <c r="F22" s="2"/>
      <c r="G22" s="2"/>
      <c r="H22" s="2"/>
      <c r="I22" s="2"/>
      <c r="K22" s="2"/>
    </row>
    <row r="23" spans="1:11" x14ac:dyDescent="0.35">
      <c r="A23" s="1"/>
      <c r="B23" s="1"/>
      <c r="C23" s="1"/>
      <c r="F23" s="2"/>
      <c r="G23" s="2"/>
      <c r="H23" s="2"/>
      <c r="I23" s="2"/>
      <c r="K23" s="2"/>
    </row>
    <row r="24" spans="1:11" x14ac:dyDescent="0.35">
      <c r="A24" s="1"/>
      <c r="B24" s="1"/>
      <c r="C24" s="1"/>
      <c r="D24" s="1"/>
      <c r="E24" s="2"/>
      <c r="F24" s="2"/>
      <c r="G24" s="2"/>
      <c r="H24" s="2"/>
      <c r="I24" s="2"/>
      <c r="K24" s="2"/>
    </row>
    <row r="25" spans="1:11" x14ac:dyDescent="0.35">
      <c r="A25" s="1"/>
      <c r="B25" s="1"/>
      <c r="C25" s="1"/>
      <c r="D25" s="1"/>
      <c r="E25" s="2"/>
      <c r="F25" s="2"/>
      <c r="G25" s="2"/>
      <c r="H25" s="2"/>
      <c r="I25" s="2"/>
      <c r="K25" s="2"/>
    </row>
    <row r="26" spans="1:11" x14ac:dyDescent="0.35">
      <c r="A26" s="1"/>
      <c r="B26" s="1"/>
      <c r="C26" s="1"/>
      <c r="D26" s="1"/>
      <c r="E26" s="2"/>
      <c r="F26" s="2"/>
      <c r="G26" s="2"/>
      <c r="H26" s="2"/>
      <c r="I26" s="2"/>
      <c r="K26" s="2"/>
    </row>
    <row r="27" spans="1:11" x14ac:dyDescent="0.35">
      <c r="A27" s="1"/>
      <c r="B27" s="1"/>
      <c r="C27" s="1"/>
      <c r="D27" s="1"/>
      <c r="E27" s="2"/>
      <c r="F27" s="2"/>
      <c r="G27" s="2"/>
      <c r="H27" s="2"/>
      <c r="I27" s="2"/>
      <c r="K27" s="2"/>
    </row>
    <row r="28" spans="1:11" x14ac:dyDescent="0.35">
      <c r="A28" s="1"/>
      <c r="B28" s="1"/>
      <c r="C28" s="1"/>
      <c r="D28" s="1"/>
      <c r="E28" s="2"/>
      <c r="F28" s="2"/>
      <c r="G28" s="2"/>
      <c r="H28" s="2"/>
      <c r="I28" s="2"/>
      <c r="K28" s="2"/>
    </row>
    <row r="29" spans="1:11" x14ac:dyDescent="0.35">
      <c r="A29" s="1"/>
      <c r="B29" s="1"/>
      <c r="C29" s="1"/>
      <c r="D29" s="1"/>
      <c r="E29" s="2"/>
      <c r="F29" s="2"/>
      <c r="G29" s="2"/>
      <c r="H29" s="2"/>
      <c r="I29" s="2"/>
      <c r="J29" s="1"/>
      <c r="K29" s="2"/>
    </row>
    <row r="30" spans="1:11" x14ac:dyDescent="0.35">
      <c r="A30" s="1"/>
      <c r="B30" s="1"/>
      <c r="C30" s="1"/>
      <c r="D30" s="1"/>
      <c r="E30" s="2"/>
      <c r="F30" s="2"/>
      <c r="G30" s="2"/>
      <c r="H30" s="2"/>
      <c r="I30" s="2"/>
      <c r="J30" s="1"/>
      <c r="K30" s="2"/>
    </row>
    <row r="31" spans="1:11" x14ac:dyDescent="0.35">
      <c r="A31" s="1"/>
      <c r="B31" s="1"/>
      <c r="C31" s="1"/>
      <c r="D31" s="1"/>
      <c r="E31" s="2"/>
      <c r="F31" s="2"/>
      <c r="G31" s="2"/>
      <c r="H31" s="2"/>
      <c r="I31" s="2"/>
      <c r="J31" s="1"/>
      <c r="K31" s="2"/>
    </row>
    <row r="32" spans="1:11" x14ac:dyDescent="0.35">
      <c r="A32" s="1"/>
      <c r="B32" s="1"/>
      <c r="C32" s="1"/>
      <c r="D32" s="1"/>
      <c r="E32" s="2"/>
      <c r="F32" s="2"/>
      <c r="G32" s="2"/>
      <c r="H32" s="2"/>
      <c r="I32" s="2"/>
      <c r="J32" s="1"/>
      <c r="K32" s="2"/>
    </row>
    <row r="33" spans="1:11" x14ac:dyDescent="0.35">
      <c r="A33" s="1"/>
      <c r="B33" s="1"/>
      <c r="C33" s="1"/>
      <c r="D33" s="1"/>
      <c r="E33" s="2"/>
      <c r="F33" s="2"/>
      <c r="G33" s="2"/>
      <c r="H33" s="2"/>
      <c r="I33" s="2"/>
      <c r="J33" s="1"/>
      <c r="K33" s="2"/>
    </row>
  </sheetData>
  <phoneticPr fontId="2" type="noConversion"/>
  <pageMargins left="0.78740157499999996" right="0.78740157499999996" top="0.984251969" bottom="0.984251969" header="0.4921259845" footer="0.4921259845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DFC27-EC79-4738-9E2F-E20B62286CE3}">
  <dimension ref="A3:G13"/>
  <sheetViews>
    <sheetView workbookViewId="0">
      <selection activeCell="G8" sqref="G8"/>
    </sheetView>
  </sheetViews>
  <sheetFormatPr baseColWidth="10" defaultRowHeight="12.5" x14ac:dyDescent="0.25"/>
  <cols>
    <col min="1" max="1" width="27.90625" bestFit="1" customWidth="1"/>
    <col min="2" max="6" width="14.1796875" bestFit="1" customWidth="1"/>
    <col min="7" max="7" width="14.90625" bestFit="1" customWidth="1"/>
  </cols>
  <sheetData>
    <row r="3" spans="1:7" x14ac:dyDescent="0.25">
      <c r="A3" s="14" t="s">
        <v>54</v>
      </c>
      <c r="B3" s="14" t="s">
        <v>2</v>
      </c>
    </row>
    <row r="4" spans="1:7" x14ac:dyDescent="0.25">
      <c r="A4" s="14" t="s">
        <v>0</v>
      </c>
      <c r="B4" t="s">
        <v>38</v>
      </c>
      <c r="C4" t="s">
        <v>15</v>
      </c>
      <c r="D4" t="s">
        <v>22</v>
      </c>
      <c r="E4" t="s">
        <v>49</v>
      </c>
      <c r="F4" t="s">
        <v>9</v>
      </c>
      <c r="G4" t="s">
        <v>52</v>
      </c>
    </row>
    <row r="5" spans="1:7" x14ac:dyDescent="0.25">
      <c r="A5" t="s">
        <v>20</v>
      </c>
      <c r="B5" s="16"/>
      <c r="C5" s="16"/>
      <c r="D5" s="16">
        <v>4989</v>
      </c>
      <c r="E5" s="16"/>
      <c r="F5" s="16"/>
      <c r="G5" s="16">
        <v>4989</v>
      </c>
    </row>
    <row r="6" spans="1:7" x14ac:dyDescent="0.25">
      <c r="A6" t="s">
        <v>39</v>
      </c>
      <c r="B6" s="16">
        <v>899</v>
      </c>
      <c r="C6" s="16"/>
      <c r="D6" s="16"/>
      <c r="E6" s="16"/>
      <c r="F6" s="16"/>
      <c r="G6" s="16">
        <v>899</v>
      </c>
    </row>
    <row r="7" spans="1:7" x14ac:dyDescent="0.25">
      <c r="A7" t="s">
        <v>25</v>
      </c>
      <c r="B7" s="16"/>
      <c r="C7" s="16"/>
      <c r="D7" s="16">
        <v>12198</v>
      </c>
      <c r="E7" s="16"/>
      <c r="F7" s="16"/>
      <c r="G7" s="16">
        <v>12198</v>
      </c>
    </row>
    <row r="8" spans="1:7" x14ac:dyDescent="0.25">
      <c r="A8" t="s">
        <v>33</v>
      </c>
      <c r="B8" s="16"/>
      <c r="C8" s="16"/>
      <c r="D8" s="16"/>
      <c r="E8" s="16"/>
      <c r="F8" s="16">
        <v>3398.98</v>
      </c>
      <c r="G8" s="16">
        <v>3398.98</v>
      </c>
    </row>
    <row r="9" spans="1:7" x14ac:dyDescent="0.25">
      <c r="A9" t="s">
        <v>17</v>
      </c>
      <c r="B9" s="16"/>
      <c r="C9" s="16">
        <v>14236.029999999999</v>
      </c>
      <c r="D9" s="16"/>
      <c r="E9" s="16"/>
      <c r="F9" s="16"/>
      <c r="G9" s="16">
        <v>14236.029999999999</v>
      </c>
    </row>
    <row r="10" spans="1:7" x14ac:dyDescent="0.25">
      <c r="A10" t="s">
        <v>47</v>
      </c>
      <c r="B10" s="16"/>
      <c r="C10" s="16">
        <v>3499</v>
      </c>
      <c r="D10" s="16"/>
      <c r="E10" s="16">
        <v>2999</v>
      </c>
      <c r="F10" s="16"/>
      <c r="G10" s="16">
        <v>6498</v>
      </c>
    </row>
    <row r="11" spans="1:7" x14ac:dyDescent="0.25">
      <c r="A11" t="s">
        <v>13</v>
      </c>
      <c r="B11" s="16"/>
      <c r="C11" s="16">
        <v>16848.260000000002</v>
      </c>
      <c r="D11" s="16"/>
      <c r="E11" s="16"/>
      <c r="F11" s="16"/>
      <c r="G11" s="16">
        <v>16848.260000000002</v>
      </c>
    </row>
    <row r="12" spans="1:7" x14ac:dyDescent="0.25">
      <c r="A12" t="s">
        <v>28</v>
      </c>
      <c r="B12" s="16"/>
      <c r="C12" s="16"/>
      <c r="D12" s="16"/>
      <c r="E12" s="16"/>
      <c r="F12" s="16">
        <v>1975.89</v>
      </c>
      <c r="G12" s="16">
        <v>1975.89</v>
      </c>
    </row>
    <row r="13" spans="1:7" x14ac:dyDescent="0.25">
      <c r="A13" t="s">
        <v>52</v>
      </c>
      <c r="B13" s="16">
        <v>899</v>
      </c>
      <c r="C13" s="16">
        <v>34583.29</v>
      </c>
      <c r="D13" s="16">
        <v>17187</v>
      </c>
      <c r="E13" s="16">
        <v>2999</v>
      </c>
      <c r="F13" s="16">
        <v>5374.87</v>
      </c>
      <c r="G13" s="16">
        <v>61043.159999999996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CE2C-102C-4499-8048-51E78CD06A1C}">
  <dimension ref="A1:K6"/>
  <sheetViews>
    <sheetView workbookViewId="0">
      <selection activeCell="C28" sqref="C28"/>
    </sheetView>
  </sheetViews>
  <sheetFormatPr baseColWidth="10" defaultRowHeight="12.5" x14ac:dyDescent="0.25"/>
  <cols>
    <col min="1" max="1" width="11" bestFit="1" customWidth="1"/>
    <col min="2" max="2" width="11.36328125" bestFit="1" customWidth="1"/>
    <col min="3" max="3" width="14.1796875" bestFit="1" customWidth="1"/>
    <col min="4" max="4" width="12.08984375" bestFit="1" customWidth="1"/>
    <col min="5" max="6" width="11" bestFit="1" customWidth="1"/>
    <col min="7" max="7" width="19.36328125" bestFit="1" customWidth="1"/>
    <col min="8" max="8" width="20.453125" bestFit="1" customWidth="1"/>
    <col min="9" max="10" width="16.26953125" bestFit="1" customWidth="1"/>
    <col min="11" max="11" width="13.54296875" bestFit="1" customWidth="1"/>
  </cols>
  <sheetData>
    <row r="1" spans="1:11" ht="13" x14ac:dyDescent="0.3">
      <c r="A1" s="18" t="s">
        <v>55</v>
      </c>
    </row>
    <row r="3" spans="1:11" x14ac:dyDescent="0.25">
      <c r="A3" t="s">
        <v>11</v>
      </c>
      <c r="B3" t="s">
        <v>0</v>
      </c>
      <c r="C3" t="s">
        <v>1</v>
      </c>
      <c r="D3" t="s">
        <v>2</v>
      </c>
      <c r="E3" t="s">
        <v>3</v>
      </c>
      <c r="F3" t="s">
        <v>12</v>
      </c>
      <c r="G3" t="s">
        <v>4</v>
      </c>
      <c r="H3" t="s">
        <v>5</v>
      </c>
      <c r="I3" t="s">
        <v>6</v>
      </c>
      <c r="J3" t="s">
        <v>7</v>
      </c>
      <c r="K3" t="s">
        <v>8</v>
      </c>
    </row>
    <row r="4" spans="1:11" x14ac:dyDescent="0.25">
      <c r="A4">
        <v>7</v>
      </c>
      <c r="B4" t="s">
        <v>33</v>
      </c>
      <c r="C4" t="s">
        <v>36</v>
      </c>
      <c r="D4" t="s">
        <v>9</v>
      </c>
      <c r="E4">
        <v>3</v>
      </c>
      <c r="F4" t="s">
        <v>42</v>
      </c>
      <c r="G4">
        <v>1699</v>
      </c>
      <c r="H4" s="17">
        <v>43693</v>
      </c>
      <c r="I4" s="17">
        <v>44088</v>
      </c>
      <c r="K4">
        <v>3</v>
      </c>
    </row>
    <row r="5" spans="1:11" x14ac:dyDescent="0.25">
      <c r="A5">
        <v>6</v>
      </c>
      <c r="B5" t="s">
        <v>33</v>
      </c>
      <c r="C5" t="s">
        <v>35</v>
      </c>
      <c r="D5" t="s">
        <v>9</v>
      </c>
      <c r="E5">
        <v>3</v>
      </c>
      <c r="F5" t="s">
        <v>45</v>
      </c>
      <c r="G5">
        <v>899.99</v>
      </c>
      <c r="H5" s="17">
        <v>43575</v>
      </c>
      <c r="I5" s="17">
        <v>44037</v>
      </c>
      <c r="J5" t="s">
        <v>32</v>
      </c>
      <c r="K5">
        <v>3</v>
      </c>
    </row>
    <row r="6" spans="1:11" x14ac:dyDescent="0.25">
      <c r="A6">
        <v>4</v>
      </c>
      <c r="B6" t="s">
        <v>33</v>
      </c>
      <c r="C6" t="s">
        <v>34</v>
      </c>
      <c r="D6" t="s">
        <v>9</v>
      </c>
      <c r="E6">
        <v>3</v>
      </c>
      <c r="F6" t="s">
        <v>44</v>
      </c>
      <c r="G6">
        <v>799.99</v>
      </c>
      <c r="H6" s="17">
        <v>43319</v>
      </c>
      <c r="I6" s="17">
        <v>44087</v>
      </c>
      <c r="K6">
        <v>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3B4F-D775-4D9C-9637-5CB0708CE5FB}">
  <dimension ref="A3:G13"/>
  <sheetViews>
    <sheetView tabSelected="1" workbookViewId="0">
      <selection activeCell="B22" sqref="B22"/>
    </sheetView>
  </sheetViews>
  <sheetFormatPr baseColWidth="10" defaultRowHeight="12.5" x14ac:dyDescent="0.25"/>
  <cols>
    <col min="1" max="1" width="27.26953125" bestFit="1" customWidth="1"/>
    <col min="2" max="2" width="22.6328125" bestFit="1" customWidth="1"/>
    <col min="3" max="3" width="12.453125" bestFit="1" customWidth="1"/>
    <col min="4" max="4" width="14.1796875" bestFit="1" customWidth="1"/>
    <col min="5" max="5" width="7.08984375" bestFit="1" customWidth="1"/>
    <col min="6" max="6" width="13.1796875" bestFit="1" customWidth="1"/>
    <col min="7" max="7" width="14.90625" bestFit="1" customWidth="1"/>
  </cols>
  <sheetData>
    <row r="3" spans="1:7" x14ac:dyDescent="0.25">
      <c r="A3" s="14" t="s">
        <v>56</v>
      </c>
      <c r="B3" s="14" t="s">
        <v>51</v>
      </c>
    </row>
    <row r="4" spans="1:7" x14ac:dyDescent="0.25">
      <c r="A4" s="14" t="s">
        <v>53</v>
      </c>
      <c r="B4" t="s">
        <v>38</v>
      </c>
      <c r="C4" t="s">
        <v>15</v>
      </c>
      <c r="D4" t="s">
        <v>22</v>
      </c>
      <c r="E4" t="s">
        <v>49</v>
      </c>
      <c r="F4" t="s">
        <v>9</v>
      </c>
      <c r="G4" t="s">
        <v>52</v>
      </c>
    </row>
    <row r="5" spans="1:7" x14ac:dyDescent="0.25">
      <c r="A5" s="15" t="s">
        <v>20</v>
      </c>
      <c r="B5" s="16"/>
      <c r="C5" s="16"/>
      <c r="D5" s="16">
        <v>2</v>
      </c>
      <c r="E5" s="16"/>
      <c r="F5" s="16"/>
      <c r="G5" s="16">
        <v>2</v>
      </c>
    </row>
    <row r="6" spans="1:7" x14ac:dyDescent="0.25">
      <c r="A6" s="15" t="s">
        <v>39</v>
      </c>
      <c r="B6" s="16">
        <v>2</v>
      </c>
      <c r="C6" s="16"/>
      <c r="D6" s="16"/>
      <c r="E6" s="16"/>
      <c r="F6" s="16"/>
      <c r="G6" s="16">
        <v>2</v>
      </c>
    </row>
    <row r="7" spans="1:7" x14ac:dyDescent="0.25">
      <c r="A7" s="15" t="s">
        <v>25</v>
      </c>
      <c r="B7" s="16"/>
      <c r="C7" s="16"/>
      <c r="D7" s="16">
        <v>2</v>
      </c>
      <c r="E7" s="16"/>
      <c r="F7" s="16"/>
      <c r="G7" s="16">
        <v>2</v>
      </c>
    </row>
    <row r="8" spans="1:7" x14ac:dyDescent="0.25">
      <c r="A8" s="15" t="s">
        <v>33</v>
      </c>
      <c r="B8" s="16"/>
      <c r="C8" s="16"/>
      <c r="D8" s="16"/>
      <c r="E8" s="16"/>
      <c r="F8" s="16">
        <v>3</v>
      </c>
      <c r="G8" s="16">
        <v>3</v>
      </c>
    </row>
    <row r="9" spans="1:7" x14ac:dyDescent="0.25">
      <c r="A9" s="15" t="s">
        <v>17</v>
      </c>
      <c r="B9" s="16"/>
      <c r="C9" s="16">
        <v>2</v>
      </c>
      <c r="D9" s="16"/>
      <c r="E9" s="16"/>
      <c r="F9" s="16"/>
      <c r="G9" s="16">
        <v>2</v>
      </c>
    </row>
    <row r="10" spans="1:7" x14ac:dyDescent="0.25">
      <c r="A10" s="15" t="s">
        <v>47</v>
      </c>
      <c r="B10" s="16"/>
      <c r="C10" s="16">
        <v>1</v>
      </c>
      <c r="D10" s="16"/>
      <c r="E10" s="16">
        <v>1</v>
      </c>
      <c r="F10" s="16"/>
      <c r="G10" s="16">
        <v>2</v>
      </c>
    </row>
    <row r="11" spans="1:7" x14ac:dyDescent="0.25">
      <c r="A11" s="15" t="s">
        <v>13</v>
      </c>
      <c r="B11" s="16"/>
      <c r="C11" s="16">
        <v>2</v>
      </c>
      <c r="D11" s="16"/>
      <c r="E11" s="16"/>
      <c r="F11" s="16"/>
      <c r="G11" s="16">
        <v>2</v>
      </c>
    </row>
    <row r="12" spans="1:7" x14ac:dyDescent="0.25">
      <c r="A12" s="15" t="s">
        <v>28</v>
      </c>
      <c r="B12" s="16"/>
      <c r="C12" s="16"/>
      <c r="D12" s="16"/>
      <c r="E12" s="16"/>
      <c r="F12" s="16">
        <v>3</v>
      </c>
      <c r="G12" s="16">
        <v>3</v>
      </c>
    </row>
    <row r="13" spans="1:7" x14ac:dyDescent="0.25">
      <c r="A13" s="15" t="s">
        <v>52</v>
      </c>
      <c r="B13" s="16">
        <v>2</v>
      </c>
      <c r="C13" s="16">
        <v>5</v>
      </c>
      <c r="D13" s="16">
        <v>4</v>
      </c>
      <c r="E13" s="16">
        <v>1</v>
      </c>
      <c r="F13" s="16">
        <v>6</v>
      </c>
      <c r="G13" s="16">
        <v>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Tab-Excel</vt:lpstr>
      <vt:lpstr>1_Art_Hersteller</vt:lpstr>
      <vt:lpstr>2_KTM</vt:lpstr>
      <vt:lpstr>3_Art_Hersteller</vt:lpstr>
      <vt:lpstr>'Tab-Excel'!Fahradiso_3</vt:lpstr>
      <vt:lpstr>'Tab-Excel'!Suchkriterien</vt:lpstr>
      <vt:lpstr>'Tab-Excel'!Zielbereich</vt:lpstr>
    </vt:vector>
  </TitlesOfParts>
  <Company>Werkstoffkompetenzzentrum ForschungsGmbH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kutschej.k</dc:creator>
  <cp:lastModifiedBy>Pichler Matthias</cp:lastModifiedBy>
  <cp:lastPrinted>2003-10-28T08:17:22Z</cp:lastPrinted>
  <dcterms:created xsi:type="dcterms:W3CDTF">2003-10-28T08:17:57Z</dcterms:created>
  <dcterms:modified xsi:type="dcterms:W3CDTF">2025-11-05T13:39:29Z</dcterms:modified>
</cp:coreProperties>
</file>