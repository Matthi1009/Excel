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Schule\Schule\Infi excel\"/>
    </mc:Choice>
  </mc:AlternateContent>
  <xr:revisionPtr revIDLastSave="0" documentId="8_{46CD58FE-9669-4CC9-A46A-B8569350FE02}" xr6:coauthVersionLast="47" xr6:coauthVersionMax="47" xr10:uidLastSave="{00000000-0000-0000-0000-000000000000}"/>
  <bookViews>
    <workbookView xWindow="-110" yWindow="-110" windowWidth="19420" windowHeight="11500" tabRatio="641" firstSheet="5" activeTab="8" xr2:uid="{00000000-000D-0000-FFFF-FFFF00000000}"/>
  </bookViews>
  <sheets>
    <sheet name="Tabelle1" sheetId="1" r:id="rId1"/>
    <sheet name="1_Artikel_Jahr" sheetId="3" r:id="rId2"/>
    <sheet name="2_Jahr_Artikel" sheetId="4" r:id="rId3"/>
    <sheet name="3_Firma_Umsatz" sheetId="5" r:id="rId4"/>
    <sheet name="4_MehrereSpalten" sheetId="6" r:id="rId5"/>
    <sheet name="5_MehrereZeilen" sheetId="7" r:id="rId6"/>
    <sheet name="6_Meins" sheetId="8" r:id="rId7"/>
    <sheet name="7_Quelldaten" sheetId="9" r:id="rId8"/>
    <sheet name="8_QuelldatenMeins" sheetId="10" r:id="rId9"/>
  </sheets>
  <calcPr calcId="191029"/>
  <pivotCaches>
    <pivotCache cacheId="12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<sst xmlns="http://schemas.openxmlformats.org/spreadsheetml/2006/main" count="180" uniqueCount="42">
  <si>
    <t>Kdnr</t>
  </si>
  <si>
    <t>Firma</t>
  </si>
  <si>
    <t>Artikel</t>
  </si>
  <si>
    <t>Bestnr.</t>
  </si>
  <si>
    <t>Stck</t>
  </si>
  <si>
    <t>Jahr</t>
  </si>
  <si>
    <t>Umsatz</t>
  </si>
  <si>
    <t>LAND</t>
  </si>
  <si>
    <t>Mère Paillarde</t>
  </si>
  <si>
    <t>Dänemark</t>
  </si>
  <si>
    <t>Franchi S.p.A.</t>
  </si>
  <si>
    <t>Kanada</t>
  </si>
  <si>
    <t>Morgenstern</t>
  </si>
  <si>
    <t>Großbritannien</t>
  </si>
  <si>
    <t>Italien</t>
  </si>
  <si>
    <t>Simons bistro</t>
  </si>
  <si>
    <t>Deutschland</t>
  </si>
  <si>
    <t>Seven Seas Imports</t>
  </si>
  <si>
    <t>Wellington Trading</t>
  </si>
  <si>
    <t>Vaffeljernet</t>
  </si>
  <si>
    <t>Bestellungen 2017-20</t>
  </si>
  <si>
    <t>Spaltenbeschriftungen</t>
  </si>
  <si>
    <t>Gesamtergebnis</t>
  </si>
  <si>
    <t>Zeilenbeschriftungen</t>
  </si>
  <si>
    <t>1 Ergebnis</t>
  </si>
  <si>
    <t>2 Ergebnis</t>
  </si>
  <si>
    <t>3 Ergebnis</t>
  </si>
  <si>
    <t>Summe von Umsatz</t>
  </si>
  <si>
    <t>2017 Ergebnis</t>
  </si>
  <si>
    <t>2018 Ergebnis</t>
  </si>
  <si>
    <t>2019 Ergebnis</t>
  </si>
  <si>
    <t>2020 Ergebnis</t>
  </si>
  <si>
    <t>10 Ergebnis</t>
  </si>
  <si>
    <t>12 Ergebnis</t>
  </si>
  <si>
    <t>15 Ergebnis</t>
  </si>
  <si>
    <t>20 Ergebnis</t>
  </si>
  <si>
    <t>35 Ergebnis</t>
  </si>
  <si>
    <t>4 Ergebnis</t>
  </si>
  <si>
    <t>70 Ergebnis</t>
  </si>
  <si>
    <t>30 Ergebnis</t>
  </si>
  <si>
    <t>Details zu Summe von Umsatz – Firma: Franchi S.p.A.</t>
  </si>
  <si>
    <t>Details zu Summe von Umsatz – Firma: Wellington Trading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</si>
</sst>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&quot;DM&quot;_-;\-* #,##0.00\ &quot;DM&quot;_-;_-* &quot;-&quot;??\ &quot;DM&quot;_-;_-@_-"/>
    <numFmt numFmtId="165" formatCode="#,##0.00\ &quot;€&quot;"/>
  </numFmts>
  <fonts count="4" x14ac:knownFonts="1">
    <font>
      <sz val="10"/>
      <name val="Arial"/>
    </font>
    <font>
      <sz val="10"/>
      <name val="Arial"/>
      <family val="2"/>
    </font>
    <font>
      <b/>
      <u/>
      <sz val="10"/>
      <name val="Arial"/>
      <family val="2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/>
    <xf numFmtId="165" fontId="0" fillId="0" borderId="0" xfId="1" applyNumberFormat="1" applyFont="1"/>
    <xf numFmtId="1" fontId="0" fillId="0" borderId="0" xfId="0" applyNumberFormat="1" applyAlignment="1">
      <alignment horizontal="left"/>
    </xf>
    <xf numFmtId="0" fontId="0" fillId="2" borderId="0" xfId="0" applyFill="1" applyAlignment="1">
      <alignment horizontal="left"/>
    </xf>
    <xf numFmtId="0" fontId="0" fillId="2" borderId="0" xfId="0" applyFill="1"/>
    <xf numFmtId="0" fontId="0" fillId="0" borderId="0" xfId="0" pivotButton="1"/>
    <xf numFmtId="1" fontId="0" fillId="0" borderId="0" xfId="0" applyNumberFormat="1"/>
    <xf numFmtId="165" fontId="0" fillId="0" borderId="0" xfId="0" applyNumberFormat="1"/>
    <xf numFmtId="0" fontId="0" fillId="0" borderId="0" xfId="0" applyAlignment="1">
      <alignment horizontal="left" indent="1"/>
    </xf>
    <xf numFmtId="0" fontId="3" fillId="0" borderId="0" xfId="0" applyFont="1"/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66.590955555555" createdVersion="8" refreshedVersion="8" minRefreshableVersion="3" recordCount="17" xr:uid="{108DD3D8-8D31-40D0-8FCA-956BEFDE5EED}">
  <cacheSource type="worksheet">
    <worksheetSource ref="A3:H20" sheet="Tabelle1"/>
  </cacheSource>
  <cacheFields count="8">
    <cacheField name="Kdnr" numFmtId="0">
      <sharedItems containsSemiMixedTypes="0" containsString="0" containsNumber="1" containsInteger="1" minValue="7" maxValue="3444"/>
    </cacheField>
    <cacheField name="Firma" numFmtId="0">
      <sharedItems count="7">
        <s v="Franchi S.p.A."/>
        <s v="Mère Paillarde"/>
        <s v="Morgenstern"/>
        <s v="Seven Seas Imports"/>
        <s v="Simons bistro"/>
        <s v="Vaffeljernet"/>
        <s v="Wellington Trading"/>
      </sharedItems>
    </cacheField>
    <cacheField name="Artikel" numFmtId="0">
      <sharedItems containsSemiMixedTypes="0" containsString="0" containsNumber="1" containsInteger="1" minValue="1" maxValue="3" count="3">
        <n v="2"/>
        <n v="1"/>
        <n v="3"/>
      </sharedItems>
    </cacheField>
    <cacheField name="Bestnr." numFmtId="0">
      <sharedItems containsSemiMixedTypes="0" containsString="0" containsNumber="1" containsInteger="1" minValue="1004" maxValue="10011"/>
    </cacheField>
    <cacheField name="Stck" numFmtId="0">
      <sharedItems containsSemiMixedTypes="0" containsString="0" containsNumber="1" containsInteger="1" minValue="4" maxValue="70" count="8">
        <n v="30"/>
        <n v="12"/>
        <n v="4"/>
        <n v="35"/>
        <n v="10"/>
        <n v="70"/>
        <n v="15"/>
        <n v="20"/>
      </sharedItems>
    </cacheField>
    <cacheField name="Jahr" numFmtId="1">
      <sharedItems containsSemiMixedTypes="0" containsString="0" containsNumber="1" containsInteger="1" minValue="2017" maxValue="2020" count="4">
        <n v="2019"/>
        <n v="2017"/>
        <n v="2020"/>
        <n v="2018"/>
      </sharedItems>
    </cacheField>
    <cacheField name="Umsatz" numFmtId="165">
      <sharedItems containsSemiMixedTypes="0" containsString="0" containsNumber="1" minValue="87.2" maxValue="3194.2"/>
    </cacheField>
    <cacheField name="LAND" numFmtId="0">
      <sharedItems count="5">
        <s v="Kanada"/>
        <s v="Dänemark"/>
        <s v="Italien"/>
        <s v="Deutschland"/>
        <s v="Großbritannie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">
  <r>
    <n v="123"/>
    <x v="0"/>
    <x v="0"/>
    <n v="10001"/>
    <x v="0"/>
    <x v="0"/>
    <n v="1316.95"/>
    <x v="0"/>
  </r>
  <r>
    <n v="123"/>
    <x v="0"/>
    <x v="1"/>
    <n v="10003"/>
    <x v="1"/>
    <x v="1"/>
    <n v="499.18"/>
    <x v="1"/>
  </r>
  <r>
    <n v="123"/>
    <x v="0"/>
    <x v="1"/>
    <n v="10000"/>
    <x v="2"/>
    <x v="0"/>
    <n v="135"/>
    <x v="2"/>
  </r>
  <r>
    <n v="1234"/>
    <x v="1"/>
    <x v="1"/>
    <n v="10004"/>
    <x v="3"/>
    <x v="1"/>
    <n v="3194.2"/>
    <x v="1"/>
  </r>
  <r>
    <n v="1234"/>
    <x v="1"/>
    <x v="2"/>
    <n v="10006"/>
    <x v="4"/>
    <x v="2"/>
    <n v="87.2"/>
    <x v="2"/>
  </r>
  <r>
    <n v="1234"/>
    <x v="1"/>
    <x v="0"/>
    <n v="10007"/>
    <x v="2"/>
    <x v="0"/>
    <n v="1405"/>
    <x v="3"/>
  </r>
  <r>
    <n v="112"/>
    <x v="2"/>
    <x v="2"/>
    <n v="10009"/>
    <x v="5"/>
    <x v="3"/>
    <n v="1530"/>
    <x v="4"/>
  </r>
  <r>
    <n v="112"/>
    <x v="2"/>
    <x v="2"/>
    <n v="10011"/>
    <x v="1"/>
    <x v="2"/>
    <n v="589.04999999999995"/>
    <x v="4"/>
  </r>
  <r>
    <n v="344"/>
    <x v="3"/>
    <x v="1"/>
    <n v="10011"/>
    <x v="6"/>
    <x v="1"/>
    <n v="589.04999999999995"/>
    <x v="4"/>
  </r>
  <r>
    <n v="3444"/>
    <x v="4"/>
    <x v="1"/>
    <n v="10011"/>
    <x v="4"/>
    <x v="0"/>
    <n v="589.04999999999995"/>
    <x v="4"/>
  </r>
  <r>
    <n v="3444"/>
    <x v="4"/>
    <x v="0"/>
    <n v="10001"/>
    <x v="0"/>
    <x v="2"/>
    <n v="1316.95"/>
    <x v="0"/>
  </r>
  <r>
    <n v="213"/>
    <x v="5"/>
    <x v="2"/>
    <n v="10001"/>
    <x v="0"/>
    <x v="0"/>
    <n v="1316.95"/>
    <x v="0"/>
  </r>
  <r>
    <n v="213"/>
    <x v="5"/>
    <x v="0"/>
    <n v="10007"/>
    <x v="2"/>
    <x v="3"/>
    <n v="1405"/>
    <x v="3"/>
  </r>
  <r>
    <n v="7"/>
    <x v="6"/>
    <x v="1"/>
    <n v="10003"/>
    <x v="1"/>
    <x v="0"/>
    <n v="498.18"/>
    <x v="1"/>
  </r>
  <r>
    <n v="7"/>
    <x v="6"/>
    <x v="1"/>
    <n v="10004"/>
    <x v="3"/>
    <x v="3"/>
    <n v="3194.2"/>
    <x v="1"/>
  </r>
  <r>
    <n v="7"/>
    <x v="6"/>
    <x v="2"/>
    <n v="10006"/>
    <x v="4"/>
    <x v="1"/>
    <n v="87.2"/>
    <x v="2"/>
  </r>
  <r>
    <n v="7"/>
    <x v="6"/>
    <x v="0"/>
    <n v="1004"/>
    <x v="7"/>
    <x v="1"/>
    <n v="1563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5CD533-088D-4624-B02A-0C10AFBFAC15}" name="PivotTable1" cacheId="12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compact="0" outline="1" outlineData="1" compactData="0" multipleFieldFilters="0">
  <location ref="A3:F8" firstHeaderRow="1" firstDataRow="2" firstDataCol="1"/>
  <pivotFields count="8">
    <pivotField compact="0" showAll="0"/>
    <pivotField compact="0" showAll="0"/>
    <pivotField axis="axisRow" compact="0" showAll="0">
      <items count="4">
        <item x="1"/>
        <item x="0"/>
        <item x="2"/>
        <item t="default"/>
      </items>
    </pivotField>
    <pivotField compact="0" showAll="0"/>
    <pivotField compact="0" showAll="0"/>
    <pivotField axis="axisCol" compact="0" numFmtId="1" showAll="0">
      <items count="5">
        <item x="1"/>
        <item x="3"/>
        <item x="0"/>
        <item x="2"/>
        <item t="default"/>
      </items>
    </pivotField>
    <pivotField dataField="1" compact="0" numFmtId="165" showAll="0"/>
    <pivotField compact="0"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5"/>
  </colFields>
  <colItems count="5">
    <i>
      <x/>
    </i>
    <i>
      <x v="1"/>
    </i>
    <i>
      <x v="2"/>
    </i>
    <i>
      <x v="3"/>
    </i>
    <i t="grand">
      <x/>
    </i>
  </colItems>
  <dataFields count="1">
    <dataField name="Summe von Umsatz" fld="6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977652-001C-4407-8A8F-C5E8EC5E875D}" name="PivotTable2" cacheId="12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compact="0" outline="1" outlineData="1" compactData="0" multipleFieldFilters="0">
  <location ref="A3:E9" firstHeaderRow="1" firstDataRow="2" firstDataCol="1"/>
  <pivotFields count="8">
    <pivotField compact="0" showAll="0"/>
    <pivotField compact="0" showAll="0"/>
    <pivotField axis="axisCol" compact="0" showAll="0">
      <items count="4">
        <item x="1"/>
        <item x="0"/>
        <item x="2"/>
        <item t="default"/>
      </items>
    </pivotField>
    <pivotField compact="0" showAll="0"/>
    <pivotField compact="0" showAll="0"/>
    <pivotField axis="axisRow" compact="0" numFmtId="1" showAll="0">
      <items count="5">
        <item x="1"/>
        <item x="3"/>
        <item x="0"/>
        <item x="2"/>
        <item t="default"/>
      </items>
    </pivotField>
    <pivotField dataField="1" compact="0" numFmtId="165" showAll="0"/>
    <pivotField compact="0"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Summe von Umsatz" fld="6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BD607D-16CF-413E-92B1-E4DE23332BF7}" name="PivotTable3" cacheId="12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compact="0" outline="1" outlineData="1" compactData="0" multipleFieldFilters="0">
  <location ref="A3:F12" firstHeaderRow="1" firstDataRow="2" firstDataCol="1"/>
  <pivotFields count="8">
    <pivotField compact="0" showAll="0"/>
    <pivotField axis="axisRow"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/>
    <pivotField compact="0" showAll="0"/>
    <pivotField compact="0" showAll="0"/>
    <pivotField axis="axisCol" compact="0" numFmtId="1" showAll="0">
      <items count="5">
        <item x="1"/>
        <item x="3"/>
        <item x="0"/>
        <item x="2"/>
        <item t="default"/>
      </items>
    </pivotField>
    <pivotField dataField="1" compact="0" numFmtId="165" showAll="0"/>
    <pivotField compact="0"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5"/>
  </colFields>
  <colItems count="5">
    <i>
      <x/>
    </i>
    <i>
      <x v="1"/>
    </i>
    <i>
      <x v="2"/>
    </i>
    <i>
      <x v="3"/>
    </i>
    <i t="grand">
      <x/>
    </i>
  </colItems>
  <dataFields count="1">
    <dataField name="Summe von Umsatz" fld="6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205EB7-A726-48B7-91AC-0A79489D40A4}" name="PivotTable4" cacheId="12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compact="0" outline="1" outlineData="1" compactData="0" multipleFieldFilters="0">
  <location ref="A3:P13" firstHeaderRow="1" firstDataRow="3" firstDataCol="1"/>
  <pivotFields count="8">
    <pivotField compact="0" showAll="0"/>
    <pivotField axis="axisRow"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Col" compact="0" showAll="0">
      <items count="4">
        <item x="1"/>
        <item x="0"/>
        <item x="2"/>
        <item t="default"/>
      </items>
    </pivotField>
    <pivotField compact="0" showAll="0"/>
    <pivotField compact="0" showAll="0"/>
    <pivotField axis="axisCol" compact="0" numFmtId="1" showAll="0">
      <items count="5">
        <item x="1"/>
        <item x="3"/>
        <item x="0"/>
        <item x="2"/>
        <item t="default"/>
      </items>
    </pivotField>
    <pivotField dataField="1" compact="0" numFmtId="165" showAll="0"/>
    <pivotField compact="0"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2">
    <field x="2"/>
    <field x="5"/>
  </colFields>
  <colItems count="15">
    <i>
      <x/>
      <x/>
    </i>
    <i r="1">
      <x v="1"/>
    </i>
    <i r="1">
      <x v="2"/>
    </i>
    <i t="default">
      <x/>
    </i>
    <i>
      <x v="1"/>
      <x/>
    </i>
    <i r="1">
      <x v="1"/>
    </i>
    <i r="1">
      <x v="2"/>
    </i>
    <i r="1">
      <x v="3"/>
    </i>
    <i t="default">
      <x v="1"/>
    </i>
    <i>
      <x v="2"/>
      <x/>
    </i>
    <i r="1">
      <x v="1"/>
    </i>
    <i r="1">
      <x v="2"/>
    </i>
    <i r="1">
      <x v="3"/>
    </i>
    <i t="default">
      <x v="2"/>
    </i>
    <i t="grand">
      <x/>
    </i>
  </colItems>
  <dataFields count="1">
    <dataField name="Summe von Umsatz" fld="6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AB2F7A-0761-4070-9741-CDC27AE43F4D}" name="PivotTable5" cacheId="12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compact="0" outline="1" outlineData="1" compactData="0" multipleFieldFilters="0">
  <location ref="A3:G26" firstHeaderRow="1" firstDataRow="2" firstDataCol="2"/>
  <pivotFields count="8">
    <pivotField compact="0" showAll="0"/>
    <pivotField axis="axisRow"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Row" compact="0" showAll="0">
      <items count="4">
        <item x="1"/>
        <item x="0"/>
        <item x="2"/>
        <item t="default"/>
      </items>
    </pivotField>
    <pivotField compact="0" showAll="0"/>
    <pivotField compact="0" showAll="0"/>
    <pivotField axis="axisCol" compact="0" numFmtId="1" showAll="0">
      <items count="5">
        <item x="1"/>
        <item x="3"/>
        <item x="0"/>
        <item x="2"/>
        <item t="default"/>
      </items>
    </pivotField>
    <pivotField dataField="1" compact="0" numFmtId="165" showAll="0"/>
    <pivotField compact="0" showAll="0"/>
  </pivotFields>
  <rowFields count="2">
    <field x="1"/>
    <field x="2"/>
  </rowFields>
  <rowItems count="22">
    <i>
      <x/>
    </i>
    <i r="1">
      <x/>
    </i>
    <i r="1">
      <x v="1"/>
    </i>
    <i>
      <x v="1"/>
    </i>
    <i r="1">
      <x/>
    </i>
    <i r="1">
      <x v="1"/>
    </i>
    <i r="1">
      <x v="2"/>
    </i>
    <i>
      <x v="2"/>
    </i>
    <i r="1">
      <x v="2"/>
    </i>
    <i>
      <x v="3"/>
    </i>
    <i r="1">
      <x/>
    </i>
    <i>
      <x v="4"/>
    </i>
    <i r="1">
      <x/>
    </i>
    <i r="1">
      <x v="1"/>
    </i>
    <i>
      <x v="5"/>
    </i>
    <i r="1">
      <x v="1"/>
    </i>
    <i r="1">
      <x v="2"/>
    </i>
    <i>
      <x v="6"/>
    </i>
    <i r="1">
      <x/>
    </i>
    <i r="1">
      <x v="1"/>
    </i>
    <i r="1">
      <x v="2"/>
    </i>
    <i t="grand">
      <x/>
    </i>
  </rowItems>
  <colFields count="1">
    <field x="5"/>
  </colFields>
  <colItems count="5">
    <i>
      <x/>
    </i>
    <i>
      <x v="1"/>
    </i>
    <i>
      <x v="2"/>
    </i>
    <i>
      <x v="3"/>
    </i>
    <i t="grand">
      <x/>
    </i>
  </colItems>
  <dataFields count="1">
    <dataField name="Summe von Umsatz" fld="6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F324F0-F6BA-404E-84F6-A940B101ECE4}" name="PivotTable6" cacheId="12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>
  <location ref="A3:AK24" firstHeaderRow="1" firstDataRow="4" firstDataCol="1"/>
  <pivotFields count="8">
    <pivotField showAll="0"/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Row" showAll="0">
      <items count="4">
        <item x="1"/>
        <item x="0"/>
        <item x="2"/>
        <item t="default"/>
      </items>
    </pivotField>
    <pivotField showAll="0"/>
    <pivotField axis="axisCol" showAll="0">
      <items count="9">
        <item x="2"/>
        <item x="4"/>
        <item x="1"/>
        <item x="6"/>
        <item x="7"/>
        <item x="0"/>
        <item x="3"/>
        <item x="5"/>
        <item t="default"/>
      </items>
    </pivotField>
    <pivotField axis="axisCol" numFmtId="1" showAll="0">
      <items count="5">
        <item x="1"/>
        <item x="3"/>
        <item x="0"/>
        <item x="2"/>
        <item t="default"/>
      </items>
    </pivotField>
    <pivotField dataField="1" numFmtId="165" showAll="0"/>
    <pivotField axis="axisCol" showAll="0">
      <items count="6">
        <item x="1"/>
        <item x="3"/>
        <item x="4"/>
        <item x="2"/>
        <item x="0"/>
        <item t="default"/>
      </items>
    </pivotField>
  </pivotFields>
  <rowFields count="2">
    <field x="2"/>
    <field x="1"/>
  </rowFields>
  <rowItems count="18">
    <i>
      <x/>
    </i>
    <i r="1">
      <x/>
    </i>
    <i r="1">
      <x v="1"/>
    </i>
    <i r="1">
      <x v="3"/>
    </i>
    <i r="1">
      <x v="4"/>
    </i>
    <i r="1">
      <x v="6"/>
    </i>
    <i>
      <x v="1"/>
    </i>
    <i r="1">
      <x/>
    </i>
    <i r="1">
      <x v="1"/>
    </i>
    <i r="1">
      <x v="4"/>
    </i>
    <i r="1">
      <x v="5"/>
    </i>
    <i r="1">
      <x v="6"/>
    </i>
    <i>
      <x v="2"/>
    </i>
    <i r="1">
      <x v="1"/>
    </i>
    <i r="1">
      <x v="2"/>
    </i>
    <i r="1">
      <x v="5"/>
    </i>
    <i r="1">
      <x v="6"/>
    </i>
    <i t="grand">
      <x/>
    </i>
  </rowItems>
  <colFields count="3">
    <field x="5"/>
    <field x="4"/>
    <field x="7"/>
  </colFields>
  <colItems count="36">
    <i>
      <x/>
      <x v="1"/>
      <x v="3"/>
    </i>
    <i t="default" r="1">
      <x v="1"/>
    </i>
    <i r="1">
      <x v="2"/>
      <x/>
    </i>
    <i t="default" r="1">
      <x v="2"/>
    </i>
    <i r="1">
      <x v="3"/>
      <x v="2"/>
    </i>
    <i t="default" r="1">
      <x v="3"/>
    </i>
    <i r="1">
      <x v="4"/>
      <x v="4"/>
    </i>
    <i t="default" r="1">
      <x v="4"/>
    </i>
    <i r="1">
      <x v="6"/>
      <x/>
    </i>
    <i t="default" r="1">
      <x v="6"/>
    </i>
    <i t="default">
      <x/>
    </i>
    <i>
      <x v="1"/>
      <x/>
      <x v="1"/>
    </i>
    <i t="default" r="1">
      <x/>
    </i>
    <i r="1">
      <x v="6"/>
      <x/>
    </i>
    <i t="default" r="1">
      <x v="6"/>
    </i>
    <i r="1">
      <x v="7"/>
      <x v="2"/>
    </i>
    <i t="default" r="1">
      <x v="7"/>
    </i>
    <i t="default">
      <x v="1"/>
    </i>
    <i>
      <x v="2"/>
      <x/>
      <x v="1"/>
    </i>
    <i r="2">
      <x v="3"/>
    </i>
    <i t="default" r="1">
      <x/>
    </i>
    <i r="1">
      <x v="1"/>
      <x v="2"/>
    </i>
    <i t="default" r="1">
      <x v="1"/>
    </i>
    <i r="1">
      <x v="2"/>
      <x/>
    </i>
    <i t="default" r="1">
      <x v="2"/>
    </i>
    <i r="1">
      <x v="5"/>
      <x v="4"/>
    </i>
    <i t="default" r="1">
      <x v="5"/>
    </i>
    <i t="default">
      <x v="2"/>
    </i>
    <i>
      <x v="3"/>
      <x v="1"/>
      <x v="3"/>
    </i>
    <i t="default" r="1">
      <x v="1"/>
    </i>
    <i r="1">
      <x v="2"/>
      <x v="2"/>
    </i>
    <i t="default" r="1">
      <x v="2"/>
    </i>
    <i r="1">
      <x v="5"/>
      <x v="4"/>
    </i>
    <i t="default" r="1">
      <x v="5"/>
    </i>
    <i t="default">
      <x v="3"/>
    </i>
    <i t="grand">
      <x/>
    </i>
  </colItems>
  <dataFields count="1">
    <dataField name="Summe von Umsatz" fld="6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E6EB62-2B74-4CC9-BDCF-B102A8FDD12F}" name="Tabelle1" displayName="Tabelle1" ref="A3:H6" totalsRowShown="0">
  <autoFilter ref="A3:H6" xr:uid="{5AE6EB62-2B74-4CC9-BDCF-B102A8FDD12F}"/>
  <tableColumns count="8">
    <tableColumn id="1" xr3:uid="{6745577F-3CE4-40D3-B71A-473B49A89449}" name="Kdnr"/>
    <tableColumn id="2" xr3:uid="{8AC9007C-5839-4E0C-996B-05BFF269C9D8}" name="Firma"/>
    <tableColumn id="3" xr3:uid="{E68D4528-2A8A-4963-B2F9-2F63D65E4D40}" name="Artikel"/>
    <tableColumn id="4" xr3:uid="{0A4BC7B5-A9FC-4362-AC88-9B5BC942B461}" name="Bestnr."/>
    <tableColumn id="5" xr3:uid="{2AC2E6B6-0C4C-446D-B8DE-736B4D795724}" name="Stck"/>
    <tableColumn id="6" xr3:uid="{E207B1E5-FD76-432F-9A96-B06688311045}" name="Jahr"/>
    <tableColumn id="7" xr3:uid="{8932AE38-AF94-4F76-ADAF-24105441EFC8}" name="Umsatz"/>
    <tableColumn id="8" xr3:uid="{EA115038-8BBF-437B-B900-6D1CF4E2DF68}" name="LAN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509D7F3-EE08-4733-9367-75C83C0C0783}" name="Tabelle2" displayName="Tabelle2" ref="A3:H7" totalsRowShown="0">
  <autoFilter ref="A3:H7" xr:uid="{4509D7F3-EE08-4733-9367-75C83C0C0783}"/>
  <tableColumns count="8">
    <tableColumn id="1" xr3:uid="{C2982FAC-6B83-4A97-8A37-41B7C966CA64}" name="Kdnr"/>
    <tableColumn id="2" xr3:uid="{313AF12E-E06F-46EC-83D9-3BD8FDB43FF9}" name="Firma"/>
    <tableColumn id="3" xr3:uid="{4E8697CB-7166-42E4-A3BA-23133B136C21}" name="Artikel"/>
    <tableColumn id="4" xr3:uid="{292E90A5-51EE-48AC-B6EE-7958F5EDAA8F}" name="Bestnr."/>
    <tableColumn id="5" xr3:uid="{84E203AF-7090-4EE0-BFF9-A99317E1D90E}" name="Stck"/>
    <tableColumn id="6" xr3:uid="{6764252D-3339-4F53-AFA2-7F2252CF3A37}" name="Jahr"/>
    <tableColumn id="7" xr3:uid="{A0B5E7A4-BDED-4D62-BFAA-A4AE4EEAC8B6}" name="Umsatz"/>
    <tableColumn id="8" xr3:uid="{0E97BDD8-3263-41B5-8392-2D61EA720E78}" name="LAN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zoomScale="99" zoomScaleNormal="160" workbookViewId="0">
      <selection activeCell="D23" sqref="D23"/>
    </sheetView>
  </sheetViews>
  <sheetFormatPr baseColWidth="10" defaultRowHeight="12.5" x14ac:dyDescent="0.25"/>
  <cols>
    <col min="1" max="1" width="8.1796875" customWidth="1"/>
    <col min="2" max="2" width="17.26953125" customWidth="1"/>
    <col min="3" max="3" width="8.54296875" customWidth="1"/>
    <col min="4" max="4" width="8.81640625" customWidth="1"/>
    <col min="5" max="5" width="8.1796875" customWidth="1"/>
    <col min="6" max="6" width="7.81640625" bestFit="1" customWidth="1"/>
    <col min="7" max="7" width="13" bestFit="1" customWidth="1"/>
    <col min="8" max="8" width="13" customWidth="1"/>
  </cols>
  <sheetData>
    <row r="1" spans="1:8" ht="13" x14ac:dyDescent="0.3">
      <c r="C1" s="2" t="s">
        <v>20</v>
      </c>
    </row>
    <row r="3" spans="1:8" x14ac:dyDescent="0.25">
      <c r="A3" s="5" t="s">
        <v>0</v>
      </c>
      <c r="B3" s="6" t="s">
        <v>1</v>
      </c>
      <c r="C3" s="5" t="s">
        <v>2</v>
      </c>
      <c r="D3" s="5" t="s">
        <v>3</v>
      </c>
      <c r="E3" s="5" t="s">
        <v>4</v>
      </c>
      <c r="F3" s="6" t="s">
        <v>5</v>
      </c>
      <c r="G3" s="6" t="s">
        <v>6</v>
      </c>
      <c r="H3" s="6" t="s">
        <v>7</v>
      </c>
    </row>
    <row r="4" spans="1:8" x14ac:dyDescent="0.25">
      <c r="A4" s="1">
        <v>123</v>
      </c>
      <c r="B4" t="s">
        <v>10</v>
      </c>
      <c r="C4" s="1">
        <v>2</v>
      </c>
      <c r="D4" s="1">
        <v>10001</v>
      </c>
      <c r="E4" s="1">
        <v>30</v>
      </c>
      <c r="F4" s="4">
        <v>2019</v>
      </c>
      <c r="G4" s="3">
        <v>1316.95</v>
      </c>
      <c r="H4" t="s">
        <v>11</v>
      </c>
    </row>
    <row r="5" spans="1:8" x14ac:dyDescent="0.25">
      <c r="A5" s="1">
        <v>123</v>
      </c>
      <c r="B5" t="s">
        <v>10</v>
      </c>
      <c r="C5" s="1">
        <v>1</v>
      </c>
      <c r="D5" s="1">
        <v>10003</v>
      </c>
      <c r="E5" s="1">
        <v>12</v>
      </c>
      <c r="F5" s="4">
        <v>2017</v>
      </c>
      <c r="G5" s="3">
        <v>499.18</v>
      </c>
      <c r="H5" t="s">
        <v>9</v>
      </c>
    </row>
    <row r="6" spans="1:8" x14ac:dyDescent="0.25">
      <c r="A6" s="1">
        <v>123</v>
      </c>
      <c r="B6" t="s">
        <v>10</v>
      </c>
      <c r="C6" s="1">
        <v>1</v>
      </c>
      <c r="D6" s="1">
        <v>10000</v>
      </c>
      <c r="E6" s="1">
        <v>4</v>
      </c>
      <c r="F6" s="4">
        <v>2019</v>
      </c>
      <c r="G6" s="3">
        <v>135</v>
      </c>
      <c r="H6" t="s">
        <v>14</v>
      </c>
    </row>
    <row r="7" spans="1:8" x14ac:dyDescent="0.25">
      <c r="A7" s="1">
        <v>1234</v>
      </c>
      <c r="B7" t="s">
        <v>8</v>
      </c>
      <c r="C7" s="1">
        <v>1</v>
      </c>
      <c r="D7" s="1">
        <v>10004</v>
      </c>
      <c r="E7" s="1">
        <v>35</v>
      </c>
      <c r="F7" s="4">
        <v>2017</v>
      </c>
      <c r="G7" s="3">
        <v>3194.2</v>
      </c>
      <c r="H7" t="s">
        <v>9</v>
      </c>
    </row>
    <row r="8" spans="1:8" x14ac:dyDescent="0.25">
      <c r="A8" s="1">
        <v>1234</v>
      </c>
      <c r="B8" t="s">
        <v>8</v>
      </c>
      <c r="C8" s="1">
        <v>3</v>
      </c>
      <c r="D8" s="1">
        <v>10006</v>
      </c>
      <c r="E8" s="1">
        <v>10</v>
      </c>
      <c r="F8" s="4">
        <v>2020</v>
      </c>
      <c r="G8" s="3">
        <v>87.2</v>
      </c>
      <c r="H8" t="s">
        <v>14</v>
      </c>
    </row>
    <row r="9" spans="1:8" x14ac:dyDescent="0.25">
      <c r="A9" s="1">
        <v>1234</v>
      </c>
      <c r="B9" t="s">
        <v>8</v>
      </c>
      <c r="C9" s="1">
        <v>2</v>
      </c>
      <c r="D9" s="1">
        <v>10007</v>
      </c>
      <c r="E9" s="1">
        <v>4</v>
      </c>
      <c r="F9" s="4">
        <v>2019</v>
      </c>
      <c r="G9" s="3">
        <v>1405</v>
      </c>
      <c r="H9" t="s">
        <v>16</v>
      </c>
    </row>
    <row r="10" spans="1:8" x14ac:dyDescent="0.25">
      <c r="A10" s="1">
        <v>112</v>
      </c>
      <c r="B10" t="s">
        <v>12</v>
      </c>
      <c r="C10" s="1">
        <v>3</v>
      </c>
      <c r="D10" s="1">
        <v>10009</v>
      </c>
      <c r="E10" s="1">
        <v>70</v>
      </c>
      <c r="F10" s="4">
        <v>2018</v>
      </c>
      <c r="G10" s="3">
        <v>1530</v>
      </c>
      <c r="H10" t="s">
        <v>13</v>
      </c>
    </row>
    <row r="11" spans="1:8" x14ac:dyDescent="0.25">
      <c r="A11" s="1">
        <v>112</v>
      </c>
      <c r="B11" t="s">
        <v>12</v>
      </c>
      <c r="C11" s="1">
        <v>3</v>
      </c>
      <c r="D11" s="1">
        <v>10011</v>
      </c>
      <c r="E11" s="1">
        <v>12</v>
      </c>
      <c r="F11" s="4">
        <v>2020</v>
      </c>
      <c r="G11" s="3">
        <v>589.04999999999995</v>
      </c>
      <c r="H11" t="s">
        <v>13</v>
      </c>
    </row>
    <row r="12" spans="1:8" x14ac:dyDescent="0.25">
      <c r="A12" s="1">
        <v>344</v>
      </c>
      <c r="B12" t="s">
        <v>17</v>
      </c>
      <c r="C12" s="1">
        <v>1</v>
      </c>
      <c r="D12" s="1">
        <v>10011</v>
      </c>
      <c r="E12" s="1">
        <v>15</v>
      </c>
      <c r="F12" s="4">
        <v>2017</v>
      </c>
      <c r="G12" s="3">
        <v>589.04999999999995</v>
      </c>
      <c r="H12" t="s">
        <v>13</v>
      </c>
    </row>
    <row r="13" spans="1:8" x14ac:dyDescent="0.25">
      <c r="A13" s="1">
        <v>3444</v>
      </c>
      <c r="B13" t="s">
        <v>15</v>
      </c>
      <c r="C13" s="1">
        <v>1</v>
      </c>
      <c r="D13" s="1">
        <v>10011</v>
      </c>
      <c r="E13" s="1">
        <v>10</v>
      </c>
      <c r="F13" s="4">
        <v>2019</v>
      </c>
      <c r="G13" s="3">
        <v>589.04999999999995</v>
      </c>
      <c r="H13" t="s">
        <v>13</v>
      </c>
    </row>
    <row r="14" spans="1:8" x14ac:dyDescent="0.25">
      <c r="A14" s="1">
        <v>3444</v>
      </c>
      <c r="B14" t="s">
        <v>15</v>
      </c>
      <c r="C14" s="1">
        <v>2</v>
      </c>
      <c r="D14" s="1">
        <v>10001</v>
      </c>
      <c r="E14" s="1">
        <v>30</v>
      </c>
      <c r="F14" s="4">
        <v>2020</v>
      </c>
      <c r="G14" s="3">
        <v>1316.95</v>
      </c>
      <c r="H14" t="s">
        <v>11</v>
      </c>
    </row>
    <row r="15" spans="1:8" x14ac:dyDescent="0.25">
      <c r="A15" s="1">
        <v>213</v>
      </c>
      <c r="B15" t="s">
        <v>19</v>
      </c>
      <c r="C15" s="1">
        <v>3</v>
      </c>
      <c r="D15" s="1">
        <v>10001</v>
      </c>
      <c r="E15" s="1">
        <v>30</v>
      </c>
      <c r="F15" s="4">
        <v>2019</v>
      </c>
      <c r="G15" s="3">
        <v>1316.95</v>
      </c>
      <c r="H15" t="s">
        <v>11</v>
      </c>
    </row>
    <row r="16" spans="1:8" x14ac:dyDescent="0.25">
      <c r="A16" s="1">
        <v>213</v>
      </c>
      <c r="B16" t="s">
        <v>19</v>
      </c>
      <c r="C16" s="1">
        <v>2</v>
      </c>
      <c r="D16" s="1">
        <v>10007</v>
      </c>
      <c r="E16" s="1">
        <v>4</v>
      </c>
      <c r="F16" s="4">
        <v>2018</v>
      </c>
      <c r="G16" s="3">
        <v>1405</v>
      </c>
      <c r="H16" t="s">
        <v>16</v>
      </c>
    </row>
    <row r="17" spans="1:8" x14ac:dyDescent="0.25">
      <c r="A17" s="1">
        <v>7</v>
      </c>
      <c r="B17" t="s">
        <v>18</v>
      </c>
      <c r="C17" s="1">
        <v>1</v>
      </c>
      <c r="D17" s="1">
        <v>10003</v>
      </c>
      <c r="E17" s="1">
        <v>12</v>
      </c>
      <c r="F17" s="4">
        <v>2019</v>
      </c>
      <c r="G17" s="3">
        <v>498.18</v>
      </c>
      <c r="H17" t="s">
        <v>9</v>
      </c>
    </row>
    <row r="18" spans="1:8" x14ac:dyDescent="0.25">
      <c r="A18" s="1">
        <v>7</v>
      </c>
      <c r="B18" t="s">
        <v>18</v>
      </c>
      <c r="C18" s="1">
        <v>1</v>
      </c>
      <c r="D18" s="1">
        <v>10004</v>
      </c>
      <c r="E18" s="1">
        <v>35</v>
      </c>
      <c r="F18" s="4">
        <v>2018</v>
      </c>
      <c r="G18" s="3">
        <v>3194.2</v>
      </c>
      <c r="H18" t="s">
        <v>9</v>
      </c>
    </row>
    <row r="19" spans="1:8" x14ac:dyDescent="0.25">
      <c r="A19" s="1">
        <v>7</v>
      </c>
      <c r="B19" t="s">
        <v>18</v>
      </c>
      <c r="C19" s="1">
        <v>3</v>
      </c>
      <c r="D19" s="1">
        <v>10006</v>
      </c>
      <c r="E19" s="1">
        <v>10</v>
      </c>
      <c r="F19" s="4">
        <v>2017</v>
      </c>
      <c r="G19" s="3">
        <v>87.2</v>
      </c>
      <c r="H19" t="s">
        <v>14</v>
      </c>
    </row>
    <row r="20" spans="1:8" x14ac:dyDescent="0.25">
      <c r="A20" s="1">
        <v>7</v>
      </c>
      <c r="B20" t="s">
        <v>18</v>
      </c>
      <c r="C20" s="1">
        <v>2</v>
      </c>
      <c r="D20" s="1">
        <v>1004</v>
      </c>
      <c r="E20" s="1">
        <v>20</v>
      </c>
      <c r="F20" s="4">
        <v>2017</v>
      </c>
      <c r="G20" s="3">
        <v>1563</v>
      </c>
      <c r="H20" t="s">
        <v>11</v>
      </c>
    </row>
  </sheetData>
  <printOptions gridLines="1" gridLinesSet="0"/>
  <pageMargins left="0.78740157499999996" right="0.78740157499999996" top="0.984251969" bottom="0.984251969" header="0.39400000000000002" footer="0.39400000000000002"/>
  <pageSetup paperSize="9" orientation="portrait" horizontalDpi="300" verticalDpi="300" copies="0" r:id="rId1"/>
  <headerFooter alignWithMargins="0">
    <oddHeader>&amp;A</oddHeader>
    <oddFooter>Seite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3003E-4BE0-43C9-8E7D-3F093E6EA880}">
  <dimension ref="A3:F8"/>
  <sheetViews>
    <sheetView workbookViewId="0">
      <selection activeCell="B4" sqref="B4"/>
    </sheetView>
  </sheetViews>
  <sheetFormatPr baseColWidth="10" defaultRowHeight="12.5" x14ac:dyDescent="0.25"/>
  <cols>
    <col min="1" max="1" width="17.90625" bestFit="1" customWidth="1"/>
    <col min="2" max="5" width="9.453125" bestFit="1" customWidth="1"/>
    <col min="6" max="6" width="14.90625" bestFit="1" customWidth="1"/>
    <col min="7" max="8" width="4.81640625" bestFit="1" customWidth="1"/>
    <col min="9" max="9" width="10" bestFit="1" customWidth="1"/>
    <col min="10" max="13" width="4.81640625" bestFit="1" customWidth="1"/>
    <col min="14" max="14" width="10" bestFit="1" customWidth="1"/>
    <col min="15" max="15" width="14.90625" bestFit="1" customWidth="1"/>
  </cols>
  <sheetData>
    <row r="3" spans="1:6" x14ac:dyDescent="0.25">
      <c r="A3" s="7" t="s">
        <v>27</v>
      </c>
      <c r="B3" s="7" t="s">
        <v>5</v>
      </c>
    </row>
    <row r="4" spans="1:6" x14ac:dyDescent="0.25">
      <c r="A4" s="7" t="s">
        <v>2</v>
      </c>
      <c r="B4" s="8">
        <v>2017</v>
      </c>
      <c r="C4" s="8">
        <v>2018</v>
      </c>
      <c r="D4" s="8">
        <v>2019</v>
      </c>
      <c r="E4" s="8">
        <v>2020</v>
      </c>
      <c r="F4" s="8" t="s">
        <v>22</v>
      </c>
    </row>
    <row r="5" spans="1:6" x14ac:dyDescent="0.25">
      <c r="A5">
        <v>1</v>
      </c>
      <c r="B5" s="9">
        <v>4282.4299999999994</v>
      </c>
      <c r="C5" s="9">
        <v>3194.2</v>
      </c>
      <c r="D5" s="9">
        <v>1222.23</v>
      </c>
      <c r="E5" s="9"/>
      <c r="F5" s="9">
        <v>8698.8599999999988</v>
      </c>
    </row>
    <row r="6" spans="1:6" x14ac:dyDescent="0.25">
      <c r="A6">
        <v>2</v>
      </c>
      <c r="B6" s="9">
        <v>1563</v>
      </c>
      <c r="C6" s="9">
        <v>1405</v>
      </c>
      <c r="D6" s="9">
        <v>2721.95</v>
      </c>
      <c r="E6" s="9">
        <v>1316.95</v>
      </c>
      <c r="F6" s="9">
        <v>7006.9</v>
      </c>
    </row>
    <row r="7" spans="1:6" x14ac:dyDescent="0.25">
      <c r="A7">
        <v>3</v>
      </c>
      <c r="B7" s="9">
        <v>87.2</v>
      </c>
      <c r="C7" s="9">
        <v>1530</v>
      </c>
      <c r="D7" s="9">
        <v>1316.95</v>
      </c>
      <c r="E7" s="9">
        <v>676.25</v>
      </c>
      <c r="F7" s="9">
        <v>3610.4</v>
      </c>
    </row>
    <row r="8" spans="1:6" x14ac:dyDescent="0.25">
      <c r="A8" t="s">
        <v>22</v>
      </c>
      <c r="B8" s="9">
        <v>5932.6299999999992</v>
      </c>
      <c r="C8" s="9">
        <v>6129.2</v>
      </c>
      <c r="D8" s="9">
        <v>5261.13</v>
      </c>
      <c r="E8" s="9">
        <v>1993.2</v>
      </c>
      <c r="F8" s="9">
        <v>19316.16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D44EF-20B1-4554-A5AC-8F97EF575861}">
  <dimension ref="A3:E9"/>
  <sheetViews>
    <sheetView workbookViewId="0">
      <selection activeCell="D27" sqref="D27"/>
    </sheetView>
  </sheetViews>
  <sheetFormatPr baseColWidth="10" defaultRowHeight="12.5" x14ac:dyDescent="0.25"/>
  <cols>
    <col min="1" max="1" width="17.90625" bestFit="1" customWidth="1"/>
    <col min="2" max="4" width="9.453125" bestFit="1" customWidth="1"/>
    <col min="5" max="6" width="14.90625" bestFit="1" customWidth="1"/>
  </cols>
  <sheetData>
    <row r="3" spans="1:5" x14ac:dyDescent="0.25">
      <c r="A3" s="7" t="s">
        <v>27</v>
      </c>
      <c r="B3" s="7" t="s">
        <v>2</v>
      </c>
    </row>
    <row r="4" spans="1:5" x14ac:dyDescent="0.25">
      <c r="A4" s="7" t="s">
        <v>5</v>
      </c>
      <c r="B4">
        <v>1</v>
      </c>
      <c r="C4">
        <v>2</v>
      </c>
      <c r="D4">
        <v>3</v>
      </c>
      <c r="E4" t="s">
        <v>22</v>
      </c>
    </row>
    <row r="5" spans="1:5" x14ac:dyDescent="0.25">
      <c r="A5" s="8">
        <v>2017</v>
      </c>
      <c r="B5" s="9">
        <v>4282.4299999999994</v>
      </c>
      <c r="C5" s="9">
        <v>1563</v>
      </c>
      <c r="D5" s="9">
        <v>87.2</v>
      </c>
      <c r="E5" s="9">
        <v>5932.6299999999992</v>
      </c>
    </row>
    <row r="6" spans="1:5" x14ac:dyDescent="0.25">
      <c r="A6" s="8">
        <v>2018</v>
      </c>
      <c r="B6" s="9">
        <v>3194.2</v>
      </c>
      <c r="C6" s="9">
        <v>1405</v>
      </c>
      <c r="D6" s="9">
        <v>1530</v>
      </c>
      <c r="E6" s="9">
        <v>6129.2</v>
      </c>
    </row>
    <row r="7" spans="1:5" x14ac:dyDescent="0.25">
      <c r="A7" s="8">
        <v>2019</v>
      </c>
      <c r="B7" s="9">
        <v>1222.23</v>
      </c>
      <c r="C7" s="9">
        <v>2721.95</v>
      </c>
      <c r="D7" s="9">
        <v>1316.95</v>
      </c>
      <c r="E7" s="9">
        <v>5261.13</v>
      </c>
    </row>
    <row r="8" spans="1:5" x14ac:dyDescent="0.25">
      <c r="A8" s="8">
        <v>2020</v>
      </c>
      <c r="B8" s="9"/>
      <c r="C8" s="9">
        <v>1316.95</v>
      </c>
      <c r="D8" s="9">
        <v>676.25</v>
      </c>
      <c r="E8" s="9">
        <v>1993.2</v>
      </c>
    </row>
    <row r="9" spans="1:5" x14ac:dyDescent="0.25">
      <c r="A9" s="8" t="s">
        <v>22</v>
      </c>
      <c r="B9" s="9">
        <v>8698.8599999999988</v>
      </c>
      <c r="C9" s="9">
        <v>7006.9</v>
      </c>
      <c r="D9" s="9">
        <v>3610.4</v>
      </c>
      <c r="E9" s="9">
        <v>19316.16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36CB7-D1D2-4DC5-ACE3-42945C990D1C}">
  <dimension ref="A3:F12"/>
  <sheetViews>
    <sheetView workbookViewId="0">
      <selection activeCell="F11" sqref="F11"/>
    </sheetView>
  </sheetViews>
  <sheetFormatPr baseColWidth="10" defaultRowHeight="12.5" x14ac:dyDescent="0.25"/>
  <cols>
    <col min="1" max="1" width="17.90625" bestFit="1" customWidth="1"/>
    <col min="2" max="5" width="9.453125" bestFit="1" customWidth="1"/>
    <col min="6" max="6" width="14.90625" bestFit="1" customWidth="1"/>
  </cols>
  <sheetData>
    <row r="3" spans="1:6" x14ac:dyDescent="0.25">
      <c r="A3" s="7" t="s">
        <v>27</v>
      </c>
      <c r="B3" s="7" t="s">
        <v>5</v>
      </c>
    </row>
    <row r="4" spans="1:6" x14ac:dyDescent="0.25">
      <c r="A4" s="7" t="s">
        <v>1</v>
      </c>
      <c r="B4" s="8">
        <v>2017</v>
      </c>
      <c r="C4" s="8">
        <v>2018</v>
      </c>
      <c r="D4" s="8">
        <v>2019</v>
      </c>
      <c r="E4" s="8">
        <v>2020</v>
      </c>
      <c r="F4" s="8" t="s">
        <v>22</v>
      </c>
    </row>
    <row r="5" spans="1:6" x14ac:dyDescent="0.25">
      <c r="A5" t="s">
        <v>10</v>
      </c>
      <c r="B5" s="9">
        <v>499.18</v>
      </c>
      <c r="C5" s="9"/>
      <c r="D5" s="9">
        <v>1451.95</v>
      </c>
      <c r="E5" s="9"/>
      <c r="F5" s="9">
        <v>1951.13</v>
      </c>
    </row>
    <row r="6" spans="1:6" x14ac:dyDescent="0.25">
      <c r="A6" t="s">
        <v>8</v>
      </c>
      <c r="B6" s="9">
        <v>3194.2</v>
      </c>
      <c r="C6" s="9"/>
      <c r="D6" s="9">
        <v>1405</v>
      </c>
      <c r="E6" s="9">
        <v>87.2</v>
      </c>
      <c r="F6" s="9">
        <v>4686.3999999999996</v>
      </c>
    </row>
    <row r="7" spans="1:6" x14ac:dyDescent="0.25">
      <c r="A7" t="s">
        <v>12</v>
      </c>
      <c r="B7" s="9"/>
      <c r="C7" s="9">
        <v>1530</v>
      </c>
      <c r="D7" s="9"/>
      <c r="E7" s="9">
        <v>589.04999999999995</v>
      </c>
      <c r="F7" s="9">
        <v>2119.0500000000002</v>
      </c>
    </row>
    <row r="8" spans="1:6" x14ac:dyDescent="0.25">
      <c r="A8" t="s">
        <v>17</v>
      </c>
      <c r="B8" s="9">
        <v>589.04999999999995</v>
      </c>
      <c r="C8" s="9"/>
      <c r="D8" s="9"/>
      <c r="E8" s="9"/>
      <c r="F8" s="9">
        <v>589.04999999999995</v>
      </c>
    </row>
    <row r="9" spans="1:6" x14ac:dyDescent="0.25">
      <c r="A9" t="s">
        <v>15</v>
      </c>
      <c r="B9" s="9"/>
      <c r="C9" s="9"/>
      <c r="D9" s="9">
        <v>589.04999999999995</v>
      </c>
      <c r="E9" s="9">
        <v>1316.95</v>
      </c>
      <c r="F9" s="9">
        <v>1906</v>
      </c>
    </row>
    <row r="10" spans="1:6" x14ac:dyDescent="0.25">
      <c r="A10" t="s">
        <v>19</v>
      </c>
      <c r="B10" s="9"/>
      <c r="C10" s="9">
        <v>1405</v>
      </c>
      <c r="D10" s="9">
        <v>1316.95</v>
      </c>
      <c r="E10" s="9"/>
      <c r="F10" s="9">
        <v>2721.95</v>
      </c>
    </row>
    <row r="11" spans="1:6" x14ac:dyDescent="0.25">
      <c r="A11" t="s">
        <v>18</v>
      </c>
      <c r="B11" s="9">
        <v>1650.2</v>
      </c>
      <c r="C11" s="9">
        <v>3194.2</v>
      </c>
      <c r="D11" s="9">
        <v>498.18</v>
      </c>
      <c r="E11" s="9"/>
      <c r="F11" s="9">
        <v>5342.58</v>
      </c>
    </row>
    <row r="12" spans="1:6" x14ac:dyDescent="0.25">
      <c r="A12" t="s">
        <v>22</v>
      </c>
      <c r="B12" s="9">
        <v>5932.6299999999992</v>
      </c>
      <c r="C12" s="9">
        <v>6129.2</v>
      </c>
      <c r="D12" s="9">
        <v>5261.13</v>
      </c>
      <c r="E12" s="9">
        <v>1993.2</v>
      </c>
      <c r="F12" s="9">
        <v>19316.159999999996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A4E64-F649-4697-A7BA-2A720D10DF80}">
  <dimension ref="A3:P13"/>
  <sheetViews>
    <sheetView workbookViewId="0">
      <selection activeCell="K25" sqref="K25"/>
    </sheetView>
  </sheetViews>
  <sheetFormatPr baseColWidth="10" defaultRowHeight="12.5" x14ac:dyDescent="0.25"/>
  <cols>
    <col min="1" max="1" width="17.90625" bestFit="1" customWidth="1"/>
    <col min="2" max="4" width="9.453125" bestFit="1" customWidth="1"/>
    <col min="5" max="5" width="10" bestFit="1" customWidth="1"/>
    <col min="6" max="9" width="9.453125" bestFit="1" customWidth="1"/>
    <col min="10" max="10" width="10" bestFit="1" customWidth="1"/>
    <col min="11" max="14" width="9.453125" bestFit="1" customWidth="1"/>
    <col min="15" max="15" width="10" bestFit="1" customWidth="1"/>
    <col min="16" max="16" width="14.90625" bestFit="1" customWidth="1"/>
  </cols>
  <sheetData>
    <row r="3" spans="1:16" x14ac:dyDescent="0.25">
      <c r="A3" s="7" t="s">
        <v>27</v>
      </c>
      <c r="B3" s="7" t="s">
        <v>2</v>
      </c>
      <c r="C3" s="7" t="s">
        <v>5</v>
      </c>
    </row>
    <row r="4" spans="1:16" x14ac:dyDescent="0.25">
      <c r="B4">
        <v>1</v>
      </c>
      <c r="E4" t="s">
        <v>24</v>
      </c>
      <c r="F4">
        <v>2</v>
      </c>
      <c r="J4" t="s">
        <v>25</v>
      </c>
      <c r="K4">
        <v>3</v>
      </c>
      <c r="O4" t="s">
        <v>26</v>
      </c>
      <c r="P4" t="s">
        <v>22</v>
      </c>
    </row>
    <row r="5" spans="1:16" x14ac:dyDescent="0.25">
      <c r="A5" s="7" t="s">
        <v>1</v>
      </c>
      <c r="B5" s="8">
        <v>2017</v>
      </c>
      <c r="C5" s="8">
        <v>2018</v>
      </c>
      <c r="D5" s="8">
        <v>2019</v>
      </c>
      <c r="F5" s="8">
        <v>2017</v>
      </c>
      <c r="G5" s="8">
        <v>2018</v>
      </c>
      <c r="H5" s="8">
        <v>2019</v>
      </c>
      <c r="I5" s="8">
        <v>2020</v>
      </c>
      <c r="K5" s="8">
        <v>2017</v>
      </c>
      <c r="L5" s="8">
        <v>2018</v>
      </c>
      <c r="M5" s="8">
        <v>2019</v>
      </c>
      <c r="N5" s="8">
        <v>2020</v>
      </c>
    </row>
    <row r="6" spans="1:16" x14ac:dyDescent="0.25">
      <c r="A6" t="s">
        <v>10</v>
      </c>
      <c r="B6" s="9">
        <v>499.18</v>
      </c>
      <c r="C6" s="9"/>
      <c r="D6" s="9">
        <v>135</v>
      </c>
      <c r="E6" s="9">
        <v>634.18000000000006</v>
      </c>
      <c r="F6" s="9"/>
      <c r="G6" s="9"/>
      <c r="H6" s="9">
        <v>1316.95</v>
      </c>
      <c r="I6" s="9"/>
      <c r="J6" s="9">
        <v>1316.95</v>
      </c>
      <c r="K6" s="9"/>
      <c r="L6" s="9"/>
      <c r="M6" s="9"/>
      <c r="N6" s="9"/>
      <c r="O6" s="9"/>
      <c r="P6" s="9">
        <v>1951.13</v>
      </c>
    </row>
    <row r="7" spans="1:16" x14ac:dyDescent="0.25">
      <c r="A7" t="s">
        <v>8</v>
      </c>
      <c r="B7" s="9">
        <v>3194.2</v>
      </c>
      <c r="C7" s="9"/>
      <c r="D7" s="9"/>
      <c r="E7" s="9">
        <v>3194.2</v>
      </c>
      <c r="F7" s="9"/>
      <c r="G7" s="9"/>
      <c r="H7" s="9">
        <v>1405</v>
      </c>
      <c r="I7" s="9"/>
      <c r="J7" s="9">
        <v>1405</v>
      </c>
      <c r="K7" s="9"/>
      <c r="L7" s="9"/>
      <c r="M7" s="9"/>
      <c r="N7" s="9">
        <v>87.2</v>
      </c>
      <c r="O7" s="9">
        <v>87.2</v>
      </c>
      <c r="P7" s="9">
        <v>4686.3999999999996</v>
      </c>
    </row>
    <row r="8" spans="1:16" x14ac:dyDescent="0.25">
      <c r="A8" t="s">
        <v>12</v>
      </c>
      <c r="B8" s="9"/>
      <c r="C8" s="9"/>
      <c r="D8" s="9"/>
      <c r="E8" s="9"/>
      <c r="F8" s="9"/>
      <c r="G8" s="9"/>
      <c r="H8" s="9"/>
      <c r="I8" s="9"/>
      <c r="J8" s="9"/>
      <c r="K8" s="9"/>
      <c r="L8" s="9">
        <v>1530</v>
      </c>
      <c r="M8" s="9"/>
      <c r="N8" s="9">
        <v>589.04999999999995</v>
      </c>
      <c r="O8" s="9">
        <v>2119.0500000000002</v>
      </c>
      <c r="P8" s="9">
        <v>2119.0500000000002</v>
      </c>
    </row>
    <row r="9" spans="1:16" x14ac:dyDescent="0.25">
      <c r="A9" t="s">
        <v>17</v>
      </c>
      <c r="B9" s="9">
        <v>589.04999999999995</v>
      </c>
      <c r="C9" s="9"/>
      <c r="D9" s="9"/>
      <c r="E9" s="9">
        <v>589.04999999999995</v>
      </c>
      <c r="F9" s="9"/>
      <c r="G9" s="9"/>
      <c r="H9" s="9"/>
      <c r="I9" s="9"/>
      <c r="J9" s="9"/>
      <c r="K9" s="9"/>
      <c r="L9" s="9"/>
      <c r="M9" s="9"/>
      <c r="N9" s="9"/>
      <c r="O9" s="9"/>
      <c r="P9" s="9">
        <v>589.04999999999995</v>
      </c>
    </row>
    <row r="10" spans="1:16" x14ac:dyDescent="0.25">
      <c r="A10" t="s">
        <v>15</v>
      </c>
      <c r="B10" s="9"/>
      <c r="C10" s="9"/>
      <c r="D10" s="9">
        <v>589.04999999999995</v>
      </c>
      <c r="E10" s="9">
        <v>589.04999999999995</v>
      </c>
      <c r="F10" s="9"/>
      <c r="G10" s="9"/>
      <c r="H10" s="9"/>
      <c r="I10" s="9">
        <v>1316.95</v>
      </c>
      <c r="J10" s="9">
        <v>1316.95</v>
      </c>
      <c r="K10" s="9"/>
      <c r="L10" s="9"/>
      <c r="M10" s="9"/>
      <c r="N10" s="9"/>
      <c r="O10" s="9"/>
      <c r="P10" s="9">
        <v>1906</v>
      </c>
    </row>
    <row r="11" spans="1:16" x14ac:dyDescent="0.25">
      <c r="A11" t="s">
        <v>19</v>
      </c>
      <c r="B11" s="9"/>
      <c r="C11" s="9"/>
      <c r="D11" s="9"/>
      <c r="E11" s="9"/>
      <c r="F11" s="9"/>
      <c r="G11" s="9">
        <v>1405</v>
      </c>
      <c r="H11" s="9"/>
      <c r="I11" s="9"/>
      <c r="J11" s="9">
        <v>1405</v>
      </c>
      <c r="K11" s="9"/>
      <c r="L11" s="9"/>
      <c r="M11" s="9">
        <v>1316.95</v>
      </c>
      <c r="N11" s="9"/>
      <c r="O11" s="9">
        <v>1316.95</v>
      </c>
      <c r="P11" s="9">
        <v>2721.95</v>
      </c>
    </row>
    <row r="12" spans="1:16" x14ac:dyDescent="0.25">
      <c r="A12" t="s">
        <v>18</v>
      </c>
      <c r="B12" s="9"/>
      <c r="C12" s="9">
        <v>3194.2</v>
      </c>
      <c r="D12" s="9">
        <v>498.18</v>
      </c>
      <c r="E12" s="9">
        <v>3692.3799999999997</v>
      </c>
      <c r="F12" s="9">
        <v>1563</v>
      </c>
      <c r="G12" s="9"/>
      <c r="H12" s="9"/>
      <c r="I12" s="9"/>
      <c r="J12" s="9">
        <v>1563</v>
      </c>
      <c r="K12" s="9">
        <v>87.2</v>
      </c>
      <c r="L12" s="9"/>
      <c r="M12" s="9"/>
      <c r="N12" s="9"/>
      <c r="O12" s="9">
        <v>87.2</v>
      </c>
      <c r="P12" s="9">
        <v>5342.579999999999</v>
      </c>
    </row>
    <row r="13" spans="1:16" x14ac:dyDescent="0.25">
      <c r="A13" t="s">
        <v>22</v>
      </c>
      <c r="B13" s="9">
        <v>4282.4299999999994</v>
      </c>
      <c r="C13" s="9">
        <v>3194.2</v>
      </c>
      <c r="D13" s="9">
        <v>1222.23</v>
      </c>
      <c r="E13" s="9">
        <v>8698.86</v>
      </c>
      <c r="F13" s="9">
        <v>1563</v>
      </c>
      <c r="G13" s="9">
        <v>1405</v>
      </c>
      <c r="H13" s="9">
        <v>2721.95</v>
      </c>
      <c r="I13" s="9">
        <v>1316.95</v>
      </c>
      <c r="J13" s="9">
        <v>7006.9</v>
      </c>
      <c r="K13" s="9">
        <v>87.2</v>
      </c>
      <c r="L13" s="9">
        <v>1530</v>
      </c>
      <c r="M13" s="9">
        <v>1316.95</v>
      </c>
      <c r="N13" s="9">
        <v>676.25</v>
      </c>
      <c r="O13" s="9">
        <v>3610.3999999999996</v>
      </c>
      <c r="P13" s="9">
        <v>19316.159999999996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8CE44-4404-419A-B9D6-7A8BD8B15F04}">
  <dimension ref="A3:G26"/>
  <sheetViews>
    <sheetView zoomScale="86" workbookViewId="0">
      <selection activeCell="F22" sqref="F22"/>
    </sheetView>
  </sheetViews>
  <sheetFormatPr baseColWidth="10" defaultRowHeight="12.5" x14ac:dyDescent="0.25"/>
  <cols>
    <col min="1" max="1" width="21.1796875" bestFit="1" customWidth="1"/>
    <col min="2" max="2" width="8.90625" bestFit="1" customWidth="1"/>
    <col min="3" max="6" width="9.453125" bestFit="1" customWidth="1"/>
    <col min="7" max="7" width="14.90625" bestFit="1" customWidth="1"/>
  </cols>
  <sheetData>
    <row r="3" spans="1:7" x14ac:dyDescent="0.25">
      <c r="A3" s="7" t="s">
        <v>27</v>
      </c>
      <c r="C3" s="7" t="s">
        <v>5</v>
      </c>
    </row>
    <row r="4" spans="1:7" x14ac:dyDescent="0.25">
      <c r="A4" s="7" t="s">
        <v>1</v>
      </c>
      <c r="B4" s="7" t="s">
        <v>2</v>
      </c>
      <c r="C4" s="8">
        <v>2017</v>
      </c>
      <c r="D4" s="8">
        <v>2018</v>
      </c>
      <c r="E4" s="8">
        <v>2019</v>
      </c>
      <c r="F4" s="8">
        <v>2020</v>
      </c>
      <c r="G4" s="8" t="s">
        <v>22</v>
      </c>
    </row>
    <row r="5" spans="1:7" x14ac:dyDescent="0.25">
      <c r="A5" t="s">
        <v>10</v>
      </c>
      <c r="C5" s="9">
        <v>499.18</v>
      </c>
      <c r="D5" s="9"/>
      <c r="E5" s="9">
        <v>1451.95</v>
      </c>
      <c r="F5" s="9"/>
      <c r="G5" s="9">
        <v>1951.13</v>
      </c>
    </row>
    <row r="6" spans="1:7" x14ac:dyDescent="0.25">
      <c r="B6">
        <v>1</v>
      </c>
      <c r="C6" s="9">
        <v>499.18</v>
      </c>
      <c r="D6" s="9"/>
      <c r="E6" s="9">
        <v>135</v>
      </c>
      <c r="F6" s="9"/>
      <c r="G6" s="9">
        <v>634.18000000000006</v>
      </c>
    </row>
    <row r="7" spans="1:7" x14ac:dyDescent="0.25">
      <c r="B7">
        <v>2</v>
      </c>
      <c r="C7" s="9"/>
      <c r="D7" s="9"/>
      <c r="E7" s="9">
        <v>1316.95</v>
      </c>
      <c r="F7" s="9"/>
      <c r="G7" s="9">
        <v>1316.95</v>
      </c>
    </row>
    <row r="8" spans="1:7" x14ac:dyDescent="0.25">
      <c r="A8" t="s">
        <v>8</v>
      </c>
      <c r="C8" s="9">
        <v>3194.2</v>
      </c>
      <c r="D8" s="9"/>
      <c r="E8" s="9">
        <v>1405</v>
      </c>
      <c r="F8" s="9">
        <v>87.2</v>
      </c>
      <c r="G8" s="9">
        <v>4686.3999999999996</v>
      </c>
    </row>
    <row r="9" spans="1:7" x14ac:dyDescent="0.25">
      <c r="B9">
        <v>1</v>
      </c>
      <c r="C9" s="9">
        <v>3194.2</v>
      </c>
      <c r="D9" s="9"/>
      <c r="E9" s="9"/>
      <c r="F9" s="9"/>
      <c r="G9" s="9">
        <v>3194.2</v>
      </c>
    </row>
    <row r="10" spans="1:7" x14ac:dyDescent="0.25">
      <c r="B10">
        <v>2</v>
      </c>
      <c r="C10" s="9"/>
      <c r="D10" s="9"/>
      <c r="E10" s="9">
        <v>1405</v>
      </c>
      <c r="F10" s="9"/>
      <c r="G10" s="9">
        <v>1405</v>
      </c>
    </row>
    <row r="11" spans="1:7" x14ac:dyDescent="0.25">
      <c r="B11">
        <v>3</v>
      </c>
      <c r="C11" s="9"/>
      <c r="D11" s="9"/>
      <c r="E11" s="9"/>
      <c r="F11" s="9">
        <v>87.2</v>
      </c>
      <c r="G11" s="9">
        <v>87.2</v>
      </c>
    </row>
    <row r="12" spans="1:7" x14ac:dyDescent="0.25">
      <c r="A12" t="s">
        <v>12</v>
      </c>
      <c r="C12" s="9"/>
      <c r="D12" s="9">
        <v>1530</v>
      </c>
      <c r="E12" s="9"/>
      <c r="F12" s="9">
        <v>589.04999999999995</v>
      </c>
      <c r="G12" s="9">
        <v>2119.0500000000002</v>
      </c>
    </row>
    <row r="13" spans="1:7" x14ac:dyDescent="0.25">
      <c r="B13">
        <v>3</v>
      </c>
      <c r="C13" s="9"/>
      <c r="D13" s="9">
        <v>1530</v>
      </c>
      <c r="E13" s="9"/>
      <c r="F13" s="9">
        <v>589.04999999999995</v>
      </c>
      <c r="G13" s="9">
        <v>2119.0500000000002</v>
      </c>
    </row>
    <row r="14" spans="1:7" x14ac:dyDescent="0.25">
      <c r="A14" t="s">
        <v>17</v>
      </c>
      <c r="C14" s="9">
        <v>589.04999999999995</v>
      </c>
      <c r="D14" s="9"/>
      <c r="E14" s="9"/>
      <c r="F14" s="9"/>
      <c r="G14" s="9">
        <v>589.04999999999995</v>
      </c>
    </row>
    <row r="15" spans="1:7" x14ac:dyDescent="0.25">
      <c r="B15">
        <v>1</v>
      </c>
      <c r="C15" s="9">
        <v>589.04999999999995</v>
      </c>
      <c r="D15" s="9"/>
      <c r="E15" s="9"/>
      <c r="F15" s="9"/>
      <c r="G15" s="9">
        <v>589.04999999999995</v>
      </c>
    </row>
    <row r="16" spans="1:7" x14ac:dyDescent="0.25">
      <c r="A16" t="s">
        <v>15</v>
      </c>
      <c r="C16" s="9"/>
      <c r="D16" s="9"/>
      <c r="E16" s="9">
        <v>589.04999999999995</v>
      </c>
      <c r="F16" s="9">
        <v>1316.95</v>
      </c>
      <c r="G16" s="9">
        <v>1906</v>
      </c>
    </row>
    <row r="17" spans="1:7" x14ac:dyDescent="0.25">
      <c r="B17">
        <v>1</v>
      </c>
      <c r="C17" s="9"/>
      <c r="D17" s="9"/>
      <c r="E17" s="9">
        <v>589.04999999999995</v>
      </c>
      <c r="F17" s="9"/>
      <c r="G17" s="9">
        <v>589.04999999999995</v>
      </c>
    </row>
    <row r="18" spans="1:7" x14ac:dyDescent="0.25">
      <c r="B18">
        <v>2</v>
      </c>
      <c r="C18" s="9"/>
      <c r="D18" s="9"/>
      <c r="E18" s="9"/>
      <c r="F18" s="9">
        <v>1316.95</v>
      </c>
      <c r="G18" s="9">
        <v>1316.95</v>
      </c>
    </row>
    <row r="19" spans="1:7" x14ac:dyDescent="0.25">
      <c r="A19" t="s">
        <v>19</v>
      </c>
      <c r="C19" s="9"/>
      <c r="D19" s="9">
        <v>1405</v>
      </c>
      <c r="E19" s="9">
        <v>1316.95</v>
      </c>
      <c r="F19" s="9"/>
      <c r="G19" s="9">
        <v>2721.95</v>
      </c>
    </row>
    <row r="20" spans="1:7" x14ac:dyDescent="0.25">
      <c r="B20">
        <v>2</v>
      </c>
      <c r="C20" s="9"/>
      <c r="D20" s="9">
        <v>1405</v>
      </c>
      <c r="E20" s="9"/>
      <c r="F20" s="9"/>
      <c r="G20" s="9">
        <v>1405</v>
      </c>
    </row>
    <row r="21" spans="1:7" x14ac:dyDescent="0.25">
      <c r="B21">
        <v>3</v>
      </c>
      <c r="C21" s="9"/>
      <c r="D21" s="9"/>
      <c r="E21" s="9">
        <v>1316.95</v>
      </c>
      <c r="F21" s="9"/>
      <c r="G21" s="9">
        <v>1316.95</v>
      </c>
    </row>
    <row r="22" spans="1:7" x14ac:dyDescent="0.25">
      <c r="A22" t="s">
        <v>18</v>
      </c>
      <c r="C22" s="9">
        <v>1650.2</v>
      </c>
      <c r="D22" s="9">
        <v>3194.2</v>
      </c>
      <c r="E22" s="9">
        <v>498.18</v>
      </c>
      <c r="F22" s="9"/>
      <c r="G22" s="9">
        <v>5342.579999999999</v>
      </c>
    </row>
    <row r="23" spans="1:7" x14ac:dyDescent="0.25">
      <c r="B23">
        <v>1</v>
      </c>
      <c r="C23" s="9"/>
      <c r="D23" s="9">
        <v>3194.2</v>
      </c>
      <c r="E23" s="9">
        <v>498.18</v>
      </c>
      <c r="F23" s="9"/>
      <c r="G23" s="9">
        <v>3692.3799999999997</v>
      </c>
    </row>
    <row r="24" spans="1:7" x14ac:dyDescent="0.25">
      <c r="B24">
        <v>2</v>
      </c>
      <c r="C24" s="9">
        <v>1563</v>
      </c>
      <c r="D24" s="9"/>
      <c r="E24" s="9"/>
      <c r="F24" s="9"/>
      <c r="G24" s="9">
        <v>1563</v>
      </c>
    </row>
    <row r="25" spans="1:7" x14ac:dyDescent="0.25">
      <c r="B25">
        <v>3</v>
      </c>
      <c r="C25" s="9">
        <v>87.2</v>
      </c>
      <c r="D25" s="9"/>
      <c r="E25" s="9"/>
      <c r="F25" s="9"/>
      <c r="G25" s="9">
        <v>87.2</v>
      </c>
    </row>
    <row r="26" spans="1:7" x14ac:dyDescent="0.25">
      <c r="A26" t="s">
        <v>22</v>
      </c>
      <c r="C26" s="9">
        <v>5932.6299999999992</v>
      </c>
      <c r="D26" s="9">
        <v>6129.2</v>
      </c>
      <c r="E26" s="9">
        <v>5261.13</v>
      </c>
      <c r="F26" s="9">
        <v>1993.2</v>
      </c>
      <c r="G26" s="9">
        <v>19316.16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553DE-D6D9-4473-A6FB-242889EE9626}">
  <dimension ref="A3:AK24"/>
  <sheetViews>
    <sheetView zoomScale="75" workbookViewId="0">
      <selection activeCell="H35" sqref="H35"/>
    </sheetView>
  </sheetViews>
  <sheetFormatPr baseColWidth="10" defaultRowHeight="12.5" x14ac:dyDescent="0.25"/>
  <cols>
    <col min="1" max="1" width="21.1796875" bestFit="1" customWidth="1"/>
    <col min="2" max="2" width="22.6328125" bestFit="1" customWidth="1"/>
    <col min="3" max="3" width="11" bestFit="1" customWidth="1"/>
    <col min="4" max="4" width="9.453125" bestFit="1" customWidth="1"/>
    <col min="5" max="5" width="11" bestFit="1" customWidth="1"/>
    <col min="6" max="6" width="13.81640625" bestFit="1" customWidth="1"/>
    <col min="7" max="7" width="11" bestFit="1" customWidth="1"/>
    <col min="8" max="8" width="9.453125" bestFit="1" customWidth="1"/>
    <col min="9" max="9" width="11" bestFit="1" customWidth="1"/>
    <col min="10" max="10" width="9.453125" bestFit="1" customWidth="1"/>
    <col min="11" max="11" width="11" bestFit="1" customWidth="1"/>
    <col min="12" max="12" width="13" bestFit="1" customWidth="1"/>
    <col min="13" max="13" width="11.54296875" bestFit="1" customWidth="1"/>
    <col min="14" max="14" width="10" bestFit="1" customWidth="1"/>
    <col min="15" max="15" width="9.453125" bestFit="1" customWidth="1"/>
    <col min="16" max="16" width="11" bestFit="1" customWidth="1"/>
    <col min="17" max="17" width="13.81640625" bestFit="1" customWidth="1"/>
    <col min="18" max="18" width="11" bestFit="1" customWidth="1"/>
    <col min="19" max="19" width="13" bestFit="1" customWidth="1"/>
    <col min="20" max="20" width="11.54296875" bestFit="1" customWidth="1"/>
    <col min="21" max="21" width="7.90625" bestFit="1" customWidth="1"/>
    <col min="22" max="22" width="10" bestFit="1" customWidth="1"/>
    <col min="23" max="23" width="13.81640625" bestFit="1" customWidth="1"/>
    <col min="24" max="24" width="11" bestFit="1" customWidth="1"/>
    <col min="25" max="25" width="9.453125" bestFit="1" customWidth="1"/>
    <col min="26" max="26" width="11" bestFit="1" customWidth="1"/>
    <col min="27" max="27" width="9.453125" bestFit="1" customWidth="1"/>
    <col min="28" max="28" width="11" bestFit="1" customWidth="1"/>
    <col min="29" max="29" width="13" bestFit="1" customWidth="1"/>
    <col min="30" max="30" width="6.90625" bestFit="1" customWidth="1"/>
    <col min="31" max="31" width="11" bestFit="1" customWidth="1"/>
    <col min="32" max="32" width="13.81640625" bestFit="1" customWidth="1"/>
    <col min="33" max="33" width="11" bestFit="1" customWidth="1"/>
    <col min="34" max="34" width="9.453125" bestFit="1" customWidth="1"/>
    <col min="35" max="35" width="11" bestFit="1" customWidth="1"/>
    <col min="36" max="36" width="13" bestFit="1" customWidth="1"/>
    <col min="37" max="37" width="14.90625" bestFit="1" customWidth="1"/>
  </cols>
  <sheetData>
    <row r="3" spans="1:37" x14ac:dyDescent="0.25">
      <c r="A3" s="7" t="s">
        <v>27</v>
      </c>
      <c r="B3" s="7" t="s">
        <v>21</v>
      </c>
    </row>
    <row r="4" spans="1:37" x14ac:dyDescent="0.25">
      <c r="B4" s="8">
        <v>2017</v>
      </c>
      <c r="L4" s="8" t="s">
        <v>28</v>
      </c>
      <c r="M4" s="8">
        <v>2018</v>
      </c>
      <c r="S4" s="8" t="s">
        <v>29</v>
      </c>
      <c r="T4" s="8">
        <v>2019</v>
      </c>
      <c r="AC4" s="8" t="s">
        <v>30</v>
      </c>
      <c r="AD4" s="8">
        <v>2020</v>
      </c>
      <c r="AJ4" s="8" t="s">
        <v>31</v>
      </c>
      <c r="AK4" s="8" t="s">
        <v>22</v>
      </c>
    </row>
    <row r="5" spans="1:37" x14ac:dyDescent="0.25">
      <c r="B5">
        <v>10</v>
      </c>
      <c r="C5" t="s">
        <v>32</v>
      </c>
      <c r="D5">
        <v>12</v>
      </c>
      <c r="E5" t="s">
        <v>33</v>
      </c>
      <c r="F5">
        <v>15</v>
      </c>
      <c r="G5" t="s">
        <v>34</v>
      </c>
      <c r="H5">
        <v>20</v>
      </c>
      <c r="I5" t="s">
        <v>35</v>
      </c>
      <c r="J5">
        <v>35</v>
      </c>
      <c r="K5" t="s">
        <v>36</v>
      </c>
      <c r="M5">
        <v>4</v>
      </c>
      <c r="N5" t="s">
        <v>37</v>
      </c>
      <c r="O5">
        <v>35</v>
      </c>
      <c r="P5" t="s">
        <v>36</v>
      </c>
      <c r="Q5">
        <v>70</v>
      </c>
      <c r="R5" t="s">
        <v>38</v>
      </c>
      <c r="T5">
        <v>4</v>
      </c>
      <c r="V5" t="s">
        <v>37</v>
      </c>
      <c r="W5">
        <v>10</v>
      </c>
      <c r="X5" t="s">
        <v>32</v>
      </c>
      <c r="Y5">
        <v>12</v>
      </c>
      <c r="Z5" t="s">
        <v>33</v>
      </c>
      <c r="AA5">
        <v>30</v>
      </c>
      <c r="AB5" t="s">
        <v>39</v>
      </c>
      <c r="AD5">
        <v>10</v>
      </c>
      <c r="AE5" t="s">
        <v>32</v>
      </c>
      <c r="AF5">
        <v>12</v>
      </c>
      <c r="AG5" t="s">
        <v>33</v>
      </c>
      <c r="AH5">
        <v>30</v>
      </c>
      <c r="AI5" t="s">
        <v>39</v>
      </c>
    </row>
    <row r="6" spans="1:37" x14ac:dyDescent="0.25">
      <c r="A6" s="7" t="s">
        <v>23</v>
      </c>
      <c r="B6" t="s">
        <v>14</v>
      </c>
      <c r="D6" t="s">
        <v>9</v>
      </c>
      <c r="F6" t="s">
        <v>13</v>
      </c>
      <c r="H6" t="s">
        <v>11</v>
      </c>
      <c r="J6" t="s">
        <v>9</v>
      </c>
      <c r="M6" t="s">
        <v>16</v>
      </c>
      <c r="O6" t="s">
        <v>9</v>
      </c>
      <c r="Q6" t="s">
        <v>13</v>
      </c>
      <c r="T6" t="s">
        <v>16</v>
      </c>
      <c r="U6" t="s">
        <v>14</v>
      </c>
      <c r="W6" t="s">
        <v>13</v>
      </c>
      <c r="Y6" t="s">
        <v>9</v>
      </c>
      <c r="AA6" t="s">
        <v>11</v>
      </c>
      <c r="AD6" t="s">
        <v>14</v>
      </c>
      <c r="AF6" t="s">
        <v>13</v>
      </c>
      <c r="AH6" t="s">
        <v>11</v>
      </c>
    </row>
    <row r="7" spans="1:37" x14ac:dyDescent="0.25">
      <c r="A7" s="1">
        <v>1</v>
      </c>
      <c r="B7" s="9"/>
      <c r="C7" s="9"/>
      <c r="D7" s="9">
        <v>499.18</v>
      </c>
      <c r="E7" s="9">
        <v>499.18</v>
      </c>
      <c r="F7" s="9">
        <v>589.04999999999995</v>
      </c>
      <c r="G7" s="9">
        <v>589.04999999999995</v>
      </c>
      <c r="H7" s="9"/>
      <c r="I7" s="9"/>
      <c r="J7" s="9">
        <v>3194.2</v>
      </c>
      <c r="K7" s="9">
        <v>3194.2</v>
      </c>
      <c r="L7" s="9">
        <v>4282.4299999999994</v>
      </c>
      <c r="M7" s="9"/>
      <c r="N7" s="9"/>
      <c r="O7" s="9">
        <v>3194.2</v>
      </c>
      <c r="P7" s="9">
        <v>3194.2</v>
      </c>
      <c r="Q7" s="9"/>
      <c r="R7" s="9"/>
      <c r="S7" s="9">
        <v>3194.2</v>
      </c>
      <c r="T7" s="9"/>
      <c r="U7" s="9">
        <v>135</v>
      </c>
      <c r="V7" s="9">
        <v>135</v>
      </c>
      <c r="W7" s="9">
        <v>589.04999999999995</v>
      </c>
      <c r="X7" s="9">
        <v>589.04999999999995</v>
      </c>
      <c r="Y7" s="9">
        <v>498.18</v>
      </c>
      <c r="Z7" s="9">
        <v>498.18</v>
      </c>
      <c r="AA7" s="9"/>
      <c r="AB7" s="9"/>
      <c r="AC7" s="9">
        <v>1222.23</v>
      </c>
      <c r="AD7" s="9"/>
      <c r="AE7" s="9"/>
      <c r="AF7" s="9"/>
      <c r="AG7" s="9"/>
      <c r="AH7" s="9"/>
      <c r="AI7" s="9"/>
      <c r="AJ7" s="9"/>
      <c r="AK7" s="9">
        <v>8698.86</v>
      </c>
    </row>
    <row r="8" spans="1:37" x14ac:dyDescent="0.25">
      <c r="A8" s="10" t="s">
        <v>10</v>
      </c>
      <c r="B8" s="9"/>
      <c r="C8" s="9"/>
      <c r="D8" s="9">
        <v>499.18</v>
      </c>
      <c r="E8" s="9">
        <v>499.18</v>
      </c>
      <c r="F8" s="9"/>
      <c r="G8" s="9"/>
      <c r="H8" s="9"/>
      <c r="I8" s="9"/>
      <c r="J8" s="9"/>
      <c r="K8" s="9"/>
      <c r="L8" s="9">
        <v>499.18</v>
      </c>
      <c r="M8" s="9"/>
      <c r="N8" s="9"/>
      <c r="O8" s="9"/>
      <c r="P8" s="9"/>
      <c r="Q8" s="9"/>
      <c r="R8" s="9"/>
      <c r="S8" s="9"/>
      <c r="T8" s="9"/>
      <c r="U8" s="9">
        <v>135</v>
      </c>
      <c r="V8" s="9">
        <v>135</v>
      </c>
      <c r="W8" s="9"/>
      <c r="X8" s="9"/>
      <c r="Y8" s="9"/>
      <c r="Z8" s="9"/>
      <c r="AA8" s="9"/>
      <c r="AB8" s="9"/>
      <c r="AC8" s="9">
        <v>135</v>
      </c>
      <c r="AD8" s="9"/>
      <c r="AE8" s="9"/>
      <c r="AF8" s="9"/>
      <c r="AG8" s="9"/>
      <c r="AH8" s="9"/>
      <c r="AI8" s="9"/>
      <c r="AJ8" s="9"/>
      <c r="AK8" s="9">
        <v>634.18000000000006</v>
      </c>
    </row>
    <row r="9" spans="1:37" x14ac:dyDescent="0.25">
      <c r="A9" s="10" t="s">
        <v>8</v>
      </c>
      <c r="B9" s="9"/>
      <c r="C9" s="9"/>
      <c r="D9" s="9"/>
      <c r="E9" s="9"/>
      <c r="F9" s="9"/>
      <c r="G9" s="9"/>
      <c r="H9" s="9"/>
      <c r="I9" s="9"/>
      <c r="J9" s="9">
        <v>3194.2</v>
      </c>
      <c r="K9" s="9">
        <v>3194.2</v>
      </c>
      <c r="L9" s="9">
        <v>3194.2</v>
      </c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>
        <v>3194.2</v>
      </c>
    </row>
    <row r="10" spans="1:37" x14ac:dyDescent="0.25">
      <c r="A10" s="10" t="s">
        <v>17</v>
      </c>
      <c r="B10" s="9"/>
      <c r="C10" s="9"/>
      <c r="D10" s="9"/>
      <c r="E10" s="9"/>
      <c r="F10" s="9">
        <v>589.04999999999995</v>
      </c>
      <c r="G10" s="9">
        <v>589.04999999999995</v>
      </c>
      <c r="H10" s="9"/>
      <c r="I10" s="9"/>
      <c r="J10" s="9"/>
      <c r="K10" s="9"/>
      <c r="L10" s="9">
        <v>589.04999999999995</v>
      </c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>
        <v>589.04999999999995</v>
      </c>
    </row>
    <row r="11" spans="1:37" x14ac:dyDescent="0.25">
      <c r="A11" s="10" t="s">
        <v>15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>
        <v>589.04999999999995</v>
      </c>
      <c r="X11" s="9">
        <v>589.04999999999995</v>
      </c>
      <c r="Y11" s="9"/>
      <c r="Z11" s="9"/>
      <c r="AA11" s="9"/>
      <c r="AB11" s="9"/>
      <c r="AC11" s="9">
        <v>589.04999999999995</v>
      </c>
      <c r="AD11" s="9"/>
      <c r="AE11" s="9"/>
      <c r="AF11" s="9"/>
      <c r="AG11" s="9"/>
      <c r="AH11" s="9"/>
      <c r="AI11" s="9"/>
      <c r="AJ11" s="9"/>
      <c r="AK11" s="9">
        <v>589.04999999999995</v>
      </c>
    </row>
    <row r="12" spans="1:37" x14ac:dyDescent="0.25">
      <c r="A12" s="10" t="s">
        <v>18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>
        <v>3194.2</v>
      </c>
      <c r="P12" s="9">
        <v>3194.2</v>
      </c>
      <c r="Q12" s="9"/>
      <c r="R12" s="9"/>
      <c r="S12" s="9">
        <v>3194.2</v>
      </c>
      <c r="T12" s="9"/>
      <c r="U12" s="9"/>
      <c r="V12" s="9"/>
      <c r="W12" s="9"/>
      <c r="X12" s="9"/>
      <c r="Y12" s="9">
        <v>498.18</v>
      </c>
      <c r="Z12" s="9">
        <v>498.18</v>
      </c>
      <c r="AA12" s="9"/>
      <c r="AB12" s="9"/>
      <c r="AC12" s="9">
        <v>498.18</v>
      </c>
      <c r="AD12" s="9"/>
      <c r="AE12" s="9"/>
      <c r="AF12" s="9"/>
      <c r="AG12" s="9"/>
      <c r="AH12" s="9"/>
      <c r="AI12" s="9"/>
      <c r="AJ12" s="9"/>
      <c r="AK12" s="9">
        <v>3692.3799999999997</v>
      </c>
    </row>
    <row r="13" spans="1:37" x14ac:dyDescent="0.25">
      <c r="A13" s="1">
        <v>2</v>
      </c>
      <c r="B13" s="9"/>
      <c r="C13" s="9"/>
      <c r="D13" s="9"/>
      <c r="E13" s="9"/>
      <c r="F13" s="9"/>
      <c r="G13" s="9"/>
      <c r="H13" s="9">
        <v>1563</v>
      </c>
      <c r="I13" s="9">
        <v>1563</v>
      </c>
      <c r="J13" s="9"/>
      <c r="K13" s="9"/>
      <c r="L13" s="9">
        <v>1563</v>
      </c>
      <c r="M13" s="9">
        <v>1405</v>
      </c>
      <c r="N13" s="9">
        <v>1405</v>
      </c>
      <c r="O13" s="9"/>
      <c r="P13" s="9"/>
      <c r="Q13" s="9"/>
      <c r="R13" s="9"/>
      <c r="S13" s="9">
        <v>1405</v>
      </c>
      <c r="T13" s="9">
        <v>1405</v>
      </c>
      <c r="U13" s="9"/>
      <c r="V13" s="9">
        <v>1405</v>
      </c>
      <c r="W13" s="9"/>
      <c r="X13" s="9"/>
      <c r="Y13" s="9"/>
      <c r="Z13" s="9"/>
      <c r="AA13" s="9">
        <v>1316.95</v>
      </c>
      <c r="AB13" s="9">
        <v>1316.95</v>
      </c>
      <c r="AC13" s="9">
        <v>2721.95</v>
      </c>
      <c r="AD13" s="9"/>
      <c r="AE13" s="9"/>
      <c r="AF13" s="9"/>
      <c r="AG13" s="9"/>
      <c r="AH13" s="9">
        <v>1316.95</v>
      </c>
      <c r="AI13" s="9">
        <v>1316.95</v>
      </c>
      <c r="AJ13" s="9">
        <v>1316.95</v>
      </c>
      <c r="AK13" s="9">
        <v>7006.9</v>
      </c>
    </row>
    <row r="14" spans="1:37" x14ac:dyDescent="0.25">
      <c r="A14" s="10" t="s">
        <v>10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>
        <v>1316.95</v>
      </c>
      <c r="AB14" s="9">
        <v>1316.95</v>
      </c>
      <c r="AC14" s="9">
        <v>1316.95</v>
      </c>
      <c r="AD14" s="9"/>
      <c r="AE14" s="9"/>
      <c r="AF14" s="9"/>
      <c r="AG14" s="9"/>
      <c r="AH14" s="9"/>
      <c r="AI14" s="9"/>
      <c r="AJ14" s="9"/>
      <c r="AK14" s="9">
        <v>1316.95</v>
      </c>
    </row>
    <row r="15" spans="1:37" x14ac:dyDescent="0.25">
      <c r="A15" s="10" t="s">
        <v>8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>
        <v>1405</v>
      </c>
      <c r="U15" s="9"/>
      <c r="V15" s="9">
        <v>1405</v>
      </c>
      <c r="W15" s="9"/>
      <c r="X15" s="9"/>
      <c r="Y15" s="9"/>
      <c r="Z15" s="9"/>
      <c r="AA15" s="9"/>
      <c r="AB15" s="9"/>
      <c r="AC15" s="9">
        <v>1405</v>
      </c>
      <c r="AD15" s="9"/>
      <c r="AE15" s="9"/>
      <c r="AF15" s="9"/>
      <c r="AG15" s="9"/>
      <c r="AH15" s="9"/>
      <c r="AI15" s="9"/>
      <c r="AJ15" s="9"/>
      <c r="AK15" s="9">
        <v>1405</v>
      </c>
    </row>
    <row r="16" spans="1:37" x14ac:dyDescent="0.25">
      <c r="A16" s="10" t="s">
        <v>15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>
        <v>1316.95</v>
      </c>
      <c r="AI16" s="9">
        <v>1316.95</v>
      </c>
      <c r="AJ16" s="9">
        <v>1316.95</v>
      </c>
      <c r="AK16" s="9">
        <v>1316.95</v>
      </c>
    </row>
    <row r="17" spans="1:37" x14ac:dyDescent="0.25">
      <c r="A17" s="10" t="s">
        <v>19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>
        <v>1405</v>
      </c>
      <c r="N17" s="9">
        <v>1405</v>
      </c>
      <c r="O17" s="9"/>
      <c r="P17" s="9"/>
      <c r="Q17" s="9"/>
      <c r="R17" s="9"/>
      <c r="S17" s="9">
        <v>1405</v>
      </c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>
        <v>1405</v>
      </c>
    </row>
    <row r="18" spans="1:37" x14ac:dyDescent="0.25">
      <c r="A18" s="10" t="s">
        <v>18</v>
      </c>
      <c r="B18" s="9"/>
      <c r="C18" s="9"/>
      <c r="D18" s="9"/>
      <c r="E18" s="9"/>
      <c r="F18" s="9"/>
      <c r="G18" s="9"/>
      <c r="H18" s="9">
        <v>1563</v>
      </c>
      <c r="I18" s="9">
        <v>1563</v>
      </c>
      <c r="J18" s="9"/>
      <c r="K18" s="9"/>
      <c r="L18" s="9">
        <v>1563</v>
      </c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>
        <v>1563</v>
      </c>
    </row>
    <row r="19" spans="1:37" x14ac:dyDescent="0.25">
      <c r="A19" s="1">
        <v>3</v>
      </c>
      <c r="B19" s="9">
        <v>87.2</v>
      </c>
      <c r="C19" s="9">
        <v>87.2</v>
      </c>
      <c r="D19" s="9"/>
      <c r="E19" s="9"/>
      <c r="F19" s="9"/>
      <c r="G19" s="9"/>
      <c r="H19" s="9"/>
      <c r="I19" s="9"/>
      <c r="J19" s="9"/>
      <c r="K19" s="9"/>
      <c r="L19" s="9">
        <v>87.2</v>
      </c>
      <c r="M19" s="9"/>
      <c r="N19" s="9"/>
      <c r="O19" s="9"/>
      <c r="P19" s="9"/>
      <c r="Q19" s="9">
        <v>1530</v>
      </c>
      <c r="R19" s="9">
        <v>1530</v>
      </c>
      <c r="S19" s="9">
        <v>1530</v>
      </c>
      <c r="T19" s="9"/>
      <c r="U19" s="9"/>
      <c r="V19" s="9"/>
      <c r="W19" s="9"/>
      <c r="X19" s="9"/>
      <c r="Y19" s="9"/>
      <c r="Z19" s="9"/>
      <c r="AA19" s="9">
        <v>1316.95</v>
      </c>
      <c r="AB19" s="9">
        <v>1316.95</v>
      </c>
      <c r="AC19" s="9">
        <v>1316.95</v>
      </c>
      <c r="AD19" s="9">
        <v>87.2</v>
      </c>
      <c r="AE19" s="9">
        <v>87.2</v>
      </c>
      <c r="AF19" s="9">
        <v>589.04999999999995</v>
      </c>
      <c r="AG19" s="9">
        <v>589.04999999999995</v>
      </c>
      <c r="AH19" s="9"/>
      <c r="AI19" s="9"/>
      <c r="AJ19" s="9">
        <v>676.25</v>
      </c>
      <c r="AK19" s="9">
        <v>3610.3999999999996</v>
      </c>
    </row>
    <row r="20" spans="1:37" x14ac:dyDescent="0.25">
      <c r="A20" s="10" t="s">
        <v>8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>
        <v>87.2</v>
      </c>
      <c r="AE20" s="9">
        <v>87.2</v>
      </c>
      <c r="AF20" s="9"/>
      <c r="AG20" s="9"/>
      <c r="AH20" s="9"/>
      <c r="AI20" s="9"/>
      <c r="AJ20" s="9">
        <v>87.2</v>
      </c>
      <c r="AK20" s="9">
        <v>87.2</v>
      </c>
    </row>
    <row r="21" spans="1:37" x14ac:dyDescent="0.25">
      <c r="A21" s="10" t="s">
        <v>12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>
        <v>1530</v>
      </c>
      <c r="R21" s="9">
        <v>1530</v>
      </c>
      <c r="S21" s="9">
        <v>1530</v>
      </c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>
        <v>589.04999999999995</v>
      </c>
      <c r="AG21" s="9">
        <v>589.04999999999995</v>
      </c>
      <c r="AH21" s="9"/>
      <c r="AI21" s="9"/>
      <c r="AJ21" s="9">
        <v>589.04999999999995</v>
      </c>
      <c r="AK21" s="9">
        <v>2119.0500000000002</v>
      </c>
    </row>
    <row r="22" spans="1:37" x14ac:dyDescent="0.25">
      <c r="A22" s="10" t="s">
        <v>19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>
        <v>1316.95</v>
      </c>
      <c r="AB22" s="9">
        <v>1316.95</v>
      </c>
      <c r="AC22" s="9">
        <v>1316.95</v>
      </c>
      <c r="AD22" s="9"/>
      <c r="AE22" s="9"/>
      <c r="AF22" s="9"/>
      <c r="AG22" s="9"/>
      <c r="AH22" s="9"/>
      <c r="AI22" s="9"/>
      <c r="AJ22" s="9"/>
      <c r="AK22" s="9">
        <v>1316.95</v>
      </c>
    </row>
    <row r="23" spans="1:37" x14ac:dyDescent="0.25">
      <c r="A23" s="10" t="s">
        <v>18</v>
      </c>
      <c r="B23" s="9">
        <v>87.2</v>
      </c>
      <c r="C23" s="9">
        <v>87.2</v>
      </c>
      <c r="D23" s="9"/>
      <c r="E23" s="9"/>
      <c r="F23" s="9"/>
      <c r="G23" s="9"/>
      <c r="H23" s="9"/>
      <c r="I23" s="9"/>
      <c r="J23" s="9"/>
      <c r="K23" s="9"/>
      <c r="L23" s="9">
        <v>87.2</v>
      </c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>
        <v>87.2</v>
      </c>
    </row>
    <row r="24" spans="1:37" x14ac:dyDescent="0.25">
      <c r="A24" s="1" t="s">
        <v>22</v>
      </c>
      <c r="B24" s="9">
        <v>87.2</v>
      </c>
      <c r="C24" s="9">
        <v>87.2</v>
      </c>
      <c r="D24" s="9">
        <v>499.18</v>
      </c>
      <c r="E24" s="9">
        <v>499.18</v>
      </c>
      <c r="F24" s="9">
        <v>589.04999999999995</v>
      </c>
      <c r="G24" s="9">
        <v>589.04999999999995</v>
      </c>
      <c r="H24" s="9">
        <v>1563</v>
      </c>
      <c r="I24" s="9">
        <v>1563</v>
      </c>
      <c r="J24" s="9">
        <v>3194.2</v>
      </c>
      <c r="K24" s="9">
        <v>3194.2</v>
      </c>
      <c r="L24" s="9">
        <v>5932.6299999999992</v>
      </c>
      <c r="M24" s="9">
        <v>1405</v>
      </c>
      <c r="N24" s="9">
        <v>1405</v>
      </c>
      <c r="O24" s="9">
        <v>3194.2</v>
      </c>
      <c r="P24" s="9">
        <v>3194.2</v>
      </c>
      <c r="Q24" s="9">
        <v>1530</v>
      </c>
      <c r="R24" s="9">
        <v>1530</v>
      </c>
      <c r="S24" s="9">
        <v>6129.2</v>
      </c>
      <c r="T24" s="9">
        <v>1405</v>
      </c>
      <c r="U24" s="9">
        <v>135</v>
      </c>
      <c r="V24" s="9">
        <v>1540</v>
      </c>
      <c r="W24" s="9">
        <v>589.04999999999995</v>
      </c>
      <c r="X24" s="9">
        <v>589.04999999999995</v>
      </c>
      <c r="Y24" s="9">
        <v>498.18</v>
      </c>
      <c r="Z24" s="9">
        <v>498.18</v>
      </c>
      <c r="AA24" s="9">
        <v>2633.9</v>
      </c>
      <c r="AB24" s="9">
        <v>2633.9</v>
      </c>
      <c r="AC24" s="9">
        <v>5261.13</v>
      </c>
      <c r="AD24" s="9">
        <v>87.2</v>
      </c>
      <c r="AE24" s="9">
        <v>87.2</v>
      </c>
      <c r="AF24" s="9">
        <v>589.04999999999995</v>
      </c>
      <c r="AG24" s="9">
        <v>589.04999999999995</v>
      </c>
      <c r="AH24" s="9">
        <v>1316.95</v>
      </c>
      <c r="AI24" s="9">
        <v>1316.95</v>
      </c>
      <c r="AJ24" s="9">
        <v>1993.2</v>
      </c>
      <c r="AK24" s="9">
        <v>19316.160000000003</v>
      </c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64FAA-31DC-46BF-91E1-B28024CB8038}">
  <dimension ref="A1:H6"/>
  <sheetViews>
    <sheetView workbookViewId="0">
      <selection activeCell="C25" sqref="C25"/>
    </sheetView>
  </sheetViews>
  <sheetFormatPr baseColWidth="10" defaultRowHeight="12.5" x14ac:dyDescent="0.25"/>
  <cols>
    <col min="1" max="1" width="11" bestFit="1" customWidth="1"/>
    <col min="2" max="2" width="12.1796875" bestFit="1" customWidth="1"/>
    <col min="3" max="8" width="11" bestFit="1" customWidth="1"/>
  </cols>
  <sheetData>
    <row r="1" spans="1:8" ht="13" x14ac:dyDescent="0.3">
      <c r="A1" s="11" t="s">
        <v>40</v>
      </c>
    </row>
    <row r="3" spans="1:8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</row>
    <row r="4" spans="1:8" x14ac:dyDescent="0.25">
      <c r="A4">
        <v>123</v>
      </c>
      <c r="B4" t="s">
        <v>10</v>
      </c>
      <c r="C4">
        <v>1</v>
      </c>
      <c r="D4">
        <v>10003</v>
      </c>
      <c r="E4">
        <v>12</v>
      </c>
      <c r="F4">
        <v>2017</v>
      </c>
      <c r="G4">
        <v>499.18</v>
      </c>
      <c r="H4" t="s">
        <v>9</v>
      </c>
    </row>
    <row r="5" spans="1:8" x14ac:dyDescent="0.25">
      <c r="A5">
        <v>123</v>
      </c>
      <c r="B5" t="s">
        <v>10</v>
      </c>
      <c r="C5">
        <v>2</v>
      </c>
      <c r="D5">
        <v>10001</v>
      </c>
      <c r="E5">
        <v>30</v>
      </c>
      <c r="F5">
        <v>2019</v>
      </c>
      <c r="G5">
        <v>1316.95</v>
      </c>
      <c r="H5" t="s">
        <v>11</v>
      </c>
    </row>
    <row r="6" spans="1:8" x14ac:dyDescent="0.25">
      <c r="A6">
        <v>123</v>
      </c>
      <c r="B6" t="s">
        <v>10</v>
      </c>
      <c r="C6">
        <v>1</v>
      </c>
      <c r="D6">
        <v>10000</v>
      </c>
      <c r="E6">
        <v>4</v>
      </c>
      <c r="F6">
        <v>2019</v>
      </c>
      <c r="G6">
        <v>135</v>
      </c>
      <c r="H6" t="s">
        <v>14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1A961-77B9-4B6F-A757-99DAEA2B0DD8}">
  <dimension ref="A1:H7"/>
  <sheetViews>
    <sheetView tabSelected="1" workbookViewId="0">
      <selection activeCell="F18" sqref="F18"/>
    </sheetView>
  </sheetViews>
  <sheetFormatPr baseColWidth="10" defaultRowHeight="12.5" x14ac:dyDescent="0.25"/>
  <cols>
    <col min="1" max="1" width="11" bestFit="1" customWidth="1"/>
    <col min="2" max="2" width="15.54296875" bestFit="1" customWidth="1"/>
    <col min="3" max="8" width="11" bestFit="1" customWidth="1"/>
  </cols>
  <sheetData>
    <row r="1" spans="1:8" ht="13" x14ac:dyDescent="0.3">
      <c r="A1" s="11" t="s">
        <v>41</v>
      </c>
    </row>
    <row r="3" spans="1:8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</row>
    <row r="4" spans="1:8" x14ac:dyDescent="0.25">
      <c r="A4">
        <v>7</v>
      </c>
      <c r="B4" t="s">
        <v>18</v>
      </c>
      <c r="C4">
        <v>2</v>
      </c>
      <c r="D4">
        <v>1004</v>
      </c>
      <c r="E4">
        <v>20</v>
      </c>
      <c r="F4">
        <v>2017</v>
      </c>
      <c r="G4">
        <v>1563</v>
      </c>
      <c r="H4" t="s">
        <v>11</v>
      </c>
    </row>
    <row r="5" spans="1:8" x14ac:dyDescent="0.25">
      <c r="A5">
        <v>7</v>
      </c>
      <c r="B5" t="s">
        <v>18</v>
      </c>
      <c r="C5">
        <v>3</v>
      </c>
      <c r="D5">
        <v>10006</v>
      </c>
      <c r="E5">
        <v>10</v>
      </c>
      <c r="F5">
        <v>2017</v>
      </c>
      <c r="G5">
        <v>87.2</v>
      </c>
      <c r="H5" t="s">
        <v>14</v>
      </c>
    </row>
    <row r="6" spans="1:8" x14ac:dyDescent="0.25">
      <c r="A6">
        <v>7</v>
      </c>
      <c r="B6" t="s">
        <v>18</v>
      </c>
      <c r="C6">
        <v>1</v>
      </c>
      <c r="D6">
        <v>10004</v>
      </c>
      <c r="E6">
        <v>35</v>
      </c>
      <c r="F6">
        <v>2018</v>
      </c>
      <c r="G6">
        <v>3194.2</v>
      </c>
      <c r="H6" t="s">
        <v>9</v>
      </c>
    </row>
    <row r="7" spans="1:8" x14ac:dyDescent="0.25">
      <c r="A7">
        <v>7</v>
      </c>
      <c r="B7" t="s">
        <v>18</v>
      </c>
      <c r="C7">
        <v>1</v>
      </c>
      <c r="D7">
        <v>10003</v>
      </c>
      <c r="E7">
        <v>12</v>
      </c>
      <c r="F7">
        <v>2019</v>
      </c>
      <c r="G7">
        <v>498.18</v>
      </c>
      <c r="H7" t="s">
        <v>9</v>
      </c>
    </row>
  </sheetData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9</vt:i4>
      </vt:variant>
    </vt:vector>
  </HeadingPairs>
  <TitlesOfParts>
    <vt:vector size="9" baseType="lpstr">
      <vt:lpstr>Tabelle1</vt:lpstr>
      <vt:lpstr>1_Artikel_Jahr</vt:lpstr>
      <vt:lpstr>2_Jahr_Artikel</vt:lpstr>
      <vt:lpstr>3_Firma_Umsatz</vt:lpstr>
      <vt:lpstr>4_MehrereSpalten</vt:lpstr>
      <vt:lpstr>5_MehrereZeilen</vt:lpstr>
      <vt:lpstr>6_Meins</vt:lpstr>
      <vt:lpstr>7_Quelldaten</vt:lpstr>
      <vt:lpstr>8_QuelldatenMeins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 Lube</dc:creator>
  <cp:lastModifiedBy>Pichler Matthias</cp:lastModifiedBy>
  <dcterms:created xsi:type="dcterms:W3CDTF">1997-10-25T16:33:18Z</dcterms:created>
  <dcterms:modified xsi:type="dcterms:W3CDTF">2025-11-05T13:24:48Z</dcterms:modified>
</cp:coreProperties>
</file>