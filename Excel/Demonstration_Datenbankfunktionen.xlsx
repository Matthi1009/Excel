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395F179A-D8C3-4B10-AF92-BE052ED59E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_Start" sheetId="9" r:id="rId1"/>
  </sheets>
  <definedNames>
    <definedName name="_xlnm._FilterDatabase" localSheetId="0" hidden="1">'0_Start'!$A$1:$D$31</definedName>
    <definedName name="_xlnm.Criteria" localSheetId="0">'0_Start'!$F$31:$I$32</definedName>
    <definedName name="_xlnm.Extract" localSheetId="0">'0_Start'!$M$35:$P$35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9" l="1"/>
  <c r="G6" i="9"/>
  <c r="G9" i="9"/>
  <c r="I9" i="9"/>
  <c r="I8" i="9"/>
  <c r="I7" i="9"/>
  <c r="I6" i="9"/>
  <c r="I5" i="9"/>
  <c r="I4" i="9"/>
</calcChain>
</file>

<file path=xl/sharedStrings.xml><?xml version="1.0" encoding="utf-8"?>
<sst xmlns="http://schemas.openxmlformats.org/spreadsheetml/2006/main" count="174" uniqueCount="45">
  <si>
    <t>Value1</t>
  </si>
  <si>
    <t>Value2</t>
  </si>
  <si>
    <t>Region</t>
  </si>
  <si>
    <t>Product</t>
  </si>
  <si>
    <t>West</t>
  </si>
  <si>
    <t>Nord</t>
  </si>
  <si>
    <t>Ost</t>
  </si>
  <si>
    <t>Süd</t>
  </si>
  <si>
    <t>Excel</t>
  </si>
  <si>
    <t>SharePoint</t>
  </si>
  <si>
    <t>Word</t>
  </si>
  <si>
    <t>DB-Name</t>
  </si>
  <si>
    <t>DB-Funktion</t>
  </si>
  <si>
    <t>Fkt.-Name</t>
  </si>
  <si>
    <t>Fkt.-Funktion</t>
  </si>
  <si>
    <t>DBANZAHL</t>
  </si>
  <si>
    <t>DBANZAHL2</t>
  </si>
  <si>
    <t>DBAUSZUG</t>
  </si>
  <si>
    <t>DBMAX</t>
  </si>
  <si>
    <t>DBMIN</t>
  </si>
  <si>
    <t>DBMITTELWERT</t>
  </si>
  <si>
    <t>DBSUMME</t>
  </si>
  <si>
    <t>MAX</t>
  </si>
  <si>
    <t>MIN</t>
  </si>
  <si>
    <t>SUMME</t>
  </si>
  <si>
    <t>ANZAHL2</t>
  </si>
  <si>
    <t>ANZAHL</t>
  </si>
  <si>
    <t>MITTELWERT</t>
  </si>
  <si>
    <t>SVERWEIS</t>
  </si>
  <si>
    <t>DB-Funktionen vs. Funktionen-Funktionen</t>
  </si>
  <si>
    <t>DB-Funktion-Aufbau</t>
  </si>
  <si>
    <t xml:space="preserve">     inkl. Ü sowie ausgefüllten Kriterien)</t>
  </si>
  <si>
    <r>
      <rPr>
        <b/>
        <sz val="14"/>
        <color theme="9" tint="-0.499984740745262"/>
        <rFont val="Times New Roman"/>
        <family val="1"/>
      </rPr>
      <t>2.</t>
    </r>
    <r>
      <rPr>
        <sz val="12"/>
        <color rgb="FF00B050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Datenbankfeld (=nur EINE Überschrift)</t>
    </r>
  </si>
  <si>
    <r>
      <rPr>
        <b/>
        <sz val="14"/>
        <color theme="4" tint="-0.249977111117893"/>
        <rFont val="Times New Roman"/>
        <family val="1"/>
      </rPr>
      <t>1</t>
    </r>
    <r>
      <rPr>
        <sz val="12"/>
        <color theme="7" tint="-0.249977111117893"/>
        <rFont val="Times New Roman"/>
        <family val="1"/>
      </rPr>
      <t>.</t>
    </r>
    <r>
      <rPr>
        <sz val="12"/>
        <color theme="1"/>
        <rFont val="Times New Roman"/>
        <family val="1"/>
      </rPr>
      <t xml:space="preserve"> Datenbank (=Datensätze inkl. Überschriften)</t>
    </r>
  </si>
  <si>
    <r>
      <rPr>
        <b/>
        <sz val="14"/>
        <color rgb="FF7030A0"/>
        <rFont val="Times New Roman"/>
        <family val="1"/>
      </rPr>
      <t>3.</t>
    </r>
    <r>
      <rPr>
        <sz val="12"/>
        <color theme="1"/>
        <rFont val="Times New Roman"/>
        <family val="1"/>
      </rPr>
      <t xml:space="preserve"> Suchkriterien (=Erstellter zusätlicher Bereich </t>
    </r>
  </si>
  <si>
    <t>Maximum von Value2 wenn Region Süd oder Nord</t>
  </si>
  <si>
    <t>Summe von Region West und Produkt Excel</t>
  </si>
  <si>
    <t>ODER</t>
  </si>
  <si>
    <t>UND</t>
  </si>
  <si>
    <t>Welches Produkt liegt zwischen 9 und 11 in der Region Ost</t>
  </si>
  <si>
    <t>findet alles &gt;9 und Region Ost</t>
  </si>
  <si>
    <t>findet alles &lt;11 und Region Ost</t>
  </si>
  <si>
    <t>&gt;9</t>
  </si>
  <si>
    <t>&lt;11</t>
  </si>
  <si>
    <t>&lt;=11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</si>
</sst>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7" tint="-0.249977111117893"/>
      <name val="Times New Roman"/>
      <family val="1"/>
    </font>
    <font>
      <sz val="12"/>
      <color rgb="FF00B050"/>
      <name val="Times New Roman"/>
      <family val="1"/>
    </font>
    <font>
      <b/>
      <sz val="14"/>
      <color rgb="FF7030A0"/>
      <name val="Times New Roman"/>
      <family val="1"/>
    </font>
    <font>
      <b/>
      <sz val="14"/>
      <color theme="9" tint="-0.499984740745262"/>
      <name val="Times New Roman"/>
      <family val="1"/>
    </font>
    <font>
      <b/>
      <sz val="14"/>
      <color theme="4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mediumGray">
        <fgColor theme="8" tint="-0.24994659260841701"/>
        <bgColor indexed="65"/>
      </patternFill>
    </fill>
    <fill>
      <patternFill patternType="mediumGray">
        <fgColor theme="8" tint="0.79998168889431442"/>
        <bgColor indexed="65"/>
      </patternFill>
    </fill>
    <fill>
      <patternFill patternType="lightGray">
        <fgColor rgb="FF7030A0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0" borderId="2" xfId="0" applyFont="1" applyBorder="1"/>
    <xf numFmtId="0" fontId="2" fillId="0" borderId="0" xfId="0" applyFont="1" applyAlignment="1">
      <alignment horizontal="left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3" fillId="5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/>
    <xf numFmtId="0" fontId="3" fillId="0" borderId="0" xfId="0" applyFont="1"/>
    <xf numFmtId="0" fontId="2" fillId="0" borderId="7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6E0F-C9F5-46D0-B533-653EE70473BA}">
  <dimension ref="A1:P36"/>
  <sheetViews>
    <sheetView tabSelected="1" topLeftCell="A10" zoomScale="79" zoomScaleNormal="130" workbookViewId="0">
      <selection activeCell="K33" sqref="K33"/>
    </sheetView>
  </sheetViews>
  <sheetFormatPr baseColWidth="10" defaultColWidth="11.453125" defaultRowHeight="15.5" x14ac:dyDescent="0.35"/>
  <cols>
    <col min="1" max="4" width="11.453125" style="2"/>
    <col min="5" max="5" width="15.453125" style="2" customWidth="1"/>
    <col min="6" max="6" width="18.7265625" style="2" bestFit="1" customWidth="1"/>
    <col min="7" max="7" width="14" style="2" bestFit="1" customWidth="1"/>
    <col min="8" max="8" width="15.453125" style="2" bestFit="1" customWidth="1"/>
    <col min="9" max="9" width="12.81640625" style="2" bestFit="1" customWidth="1"/>
    <col min="10" max="10" width="11.453125" style="2"/>
    <col min="11" max="11" width="10.81640625" style="2" bestFit="1" customWidth="1"/>
    <col min="12" max="12" width="12" style="2" bestFit="1" customWidth="1"/>
    <col min="13" max="16384" width="11.453125" style="2"/>
  </cols>
  <sheetData>
    <row r="1" spans="1:16" ht="16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16" ht="16" thickBot="1" x14ac:dyDescent="0.4">
      <c r="A2" s="2">
        <v>2</v>
      </c>
      <c r="B2" s="2">
        <v>2.38</v>
      </c>
      <c r="C2" s="2" t="s">
        <v>5</v>
      </c>
      <c r="D2" s="2" t="s">
        <v>9</v>
      </c>
      <c r="F2" s="7" t="s">
        <v>29</v>
      </c>
      <c r="G2" s="8"/>
      <c r="H2" s="8"/>
      <c r="I2" s="9"/>
    </row>
    <row r="3" spans="1:16" ht="16" thickBot="1" x14ac:dyDescent="0.4">
      <c r="A3" s="2">
        <v>3</v>
      </c>
      <c r="B3" s="2">
        <v>3.57</v>
      </c>
      <c r="C3" s="2" t="s">
        <v>5</v>
      </c>
      <c r="D3" s="2" t="s">
        <v>8</v>
      </c>
      <c r="F3" s="3" t="s">
        <v>11</v>
      </c>
      <c r="G3" s="3" t="s">
        <v>12</v>
      </c>
      <c r="H3" s="3" t="s">
        <v>13</v>
      </c>
      <c r="I3" s="3" t="s">
        <v>14</v>
      </c>
    </row>
    <row r="4" spans="1:16" ht="16" thickBot="1" x14ac:dyDescent="0.4">
      <c r="A4" s="2">
        <v>5</v>
      </c>
      <c r="B4" s="2">
        <v>5.95</v>
      </c>
      <c r="C4" s="2" t="s">
        <v>5</v>
      </c>
      <c r="D4" s="2" t="s">
        <v>8</v>
      </c>
      <c r="F4" s="4" t="s">
        <v>15</v>
      </c>
      <c r="G4" s="5"/>
      <c r="H4" s="4" t="s">
        <v>26</v>
      </c>
      <c r="I4" s="5">
        <f>COUNT(B2:B31)</f>
        <v>30</v>
      </c>
    </row>
    <row r="5" spans="1:16" ht="16" thickBot="1" x14ac:dyDescent="0.4">
      <c r="A5" s="2">
        <v>6</v>
      </c>
      <c r="B5" s="2">
        <v>7.14</v>
      </c>
      <c r="C5" s="2" t="s">
        <v>5</v>
      </c>
      <c r="D5" s="2" t="s">
        <v>10</v>
      </c>
      <c r="F5" s="4" t="s">
        <v>16</v>
      </c>
      <c r="G5" s="5"/>
      <c r="H5" s="4" t="s">
        <v>25</v>
      </c>
      <c r="I5" s="5">
        <f>COUNTA(B2:B31)</f>
        <v>30</v>
      </c>
      <c r="K5" s="12" t="s">
        <v>30</v>
      </c>
      <c r="L5" s="12"/>
    </row>
    <row r="6" spans="1:16" ht="18" thickBot="1" x14ac:dyDescent="0.4">
      <c r="A6" s="2">
        <v>8</v>
      </c>
      <c r="B6" s="2">
        <v>9.52</v>
      </c>
      <c r="C6" s="2" t="s">
        <v>5</v>
      </c>
      <c r="D6" s="2" t="s">
        <v>10</v>
      </c>
      <c r="F6" s="4" t="s">
        <v>18</v>
      </c>
      <c r="G6" s="5">
        <f>DMAX(A1:D31,B1,F20:I22)</f>
        <v>35.700000000000003</v>
      </c>
      <c r="H6" s="4" t="s">
        <v>22</v>
      </c>
      <c r="I6" s="5">
        <f>MAX(B2:B31)</f>
        <v>35.700000000000003</v>
      </c>
      <c r="L6" s="6" t="s">
        <v>33</v>
      </c>
      <c r="M6" s="6"/>
      <c r="N6" s="6"/>
      <c r="O6" s="6"/>
    </row>
    <row r="7" spans="1:16" ht="18" thickBot="1" x14ac:dyDescent="0.4">
      <c r="A7" s="2">
        <v>9</v>
      </c>
      <c r="B7" s="2">
        <v>10.71</v>
      </c>
      <c r="C7" s="2" t="s">
        <v>5</v>
      </c>
      <c r="D7" s="2" t="s">
        <v>8</v>
      </c>
      <c r="F7" s="4" t="s">
        <v>19</v>
      </c>
      <c r="G7" s="5"/>
      <c r="H7" s="4" t="s">
        <v>23</v>
      </c>
      <c r="I7" s="5">
        <f>MIN(B2:B31)</f>
        <v>1.19</v>
      </c>
      <c r="L7" s="11" t="s">
        <v>32</v>
      </c>
      <c r="M7" s="11"/>
      <c r="N7" s="11"/>
      <c r="O7" s="11"/>
    </row>
    <row r="8" spans="1:16" ht="16" thickBot="1" x14ac:dyDescent="0.4">
      <c r="A8" s="2">
        <v>14</v>
      </c>
      <c r="B8" s="2">
        <v>16.66</v>
      </c>
      <c r="C8" s="2" t="s">
        <v>5</v>
      </c>
      <c r="D8" s="2" t="s">
        <v>10</v>
      </c>
      <c r="F8" s="4" t="s">
        <v>20</v>
      </c>
      <c r="G8" s="5"/>
      <c r="H8" s="4" t="s">
        <v>27</v>
      </c>
      <c r="I8" s="5">
        <f>AVERAGE(B2:B31)</f>
        <v>18.445</v>
      </c>
      <c r="L8" s="10" t="s">
        <v>34</v>
      </c>
      <c r="M8" s="10"/>
      <c r="N8" s="10"/>
      <c r="O8" s="10"/>
    </row>
    <row r="9" spans="1:16" ht="16" thickBot="1" x14ac:dyDescent="0.4">
      <c r="A9" s="2">
        <v>15</v>
      </c>
      <c r="B9" s="2">
        <v>17.850000000000001</v>
      </c>
      <c r="C9" s="2" t="s">
        <v>5</v>
      </c>
      <c r="D9" s="2" t="s">
        <v>8</v>
      </c>
      <c r="F9" s="4" t="s">
        <v>21</v>
      </c>
      <c r="G9" s="5">
        <f>DSUM(A1:D31,B1,F14:I15)</f>
        <v>46.41</v>
      </c>
      <c r="H9" s="4" t="s">
        <v>24</v>
      </c>
      <c r="I9" s="5">
        <f>SUM(B2:B31)</f>
        <v>553.35</v>
      </c>
      <c r="L9" s="11" t="s">
        <v>31</v>
      </c>
      <c r="M9" s="11"/>
      <c r="N9" s="11"/>
      <c r="O9" s="11"/>
    </row>
    <row r="10" spans="1:16" ht="16" thickBot="1" x14ac:dyDescent="0.4">
      <c r="A10" s="2">
        <v>20</v>
      </c>
      <c r="B10" s="2">
        <v>23.8</v>
      </c>
      <c r="C10" s="2" t="s">
        <v>5</v>
      </c>
      <c r="D10" s="2" t="s">
        <v>8</v>
      </c>
      <c r="F10" s="4" t="s">
        <v>17</v>
      </c>
      <c r="G10" s="5" t="str">
        <f>DGET(A1:D31,D1,F31:I32)</f>
        <v>Excel</v>
      </c>
      <c r="H10" s="4" t="s">
        <v>28</v>
      </c>
      <c r="I10" s="5"/>
    </row>
    <row r="11" spans="1:16" x14ac:dyDescent="0.35">
      <c r="A11" s="2">
        <v>21</v>
      </c>
      <c r="B11" s="2">
        <v>24.99</v>
      </c>
      <c r="C11" s="2" t="s">
        <v>5</v>
      </c>
      <c r="D11" s="2" t="s">
        <v>8</v>
      </c>
    </row>
    <row r="12" spans="1:16" x14ac:dyDescent="0.35">
      <c r="A12" s="2">
        <v>26</v>
      </c>
      <c r="B12" s="2">
        <v>30.94</v>
      </c>
      <c r="C12" s="2" t="s">
        <v>5</v>
      </c>
      <c r="D12" s="2" t="s">
        <v>10</v>
      </c>
      <c r="F12" s="15" t="s">
        <v>36</v>
      </c>
      <c r="M12" s="1" t="s">
        <v>0</v>
      </c>
      <c r="N12" s="1" t="s">
        <v>1</v>
      </c>
      <c r="O12" s="1" t="s">
        <v>2</v>
      </c>
      <c r="P12" s="1" t="s">
        <v>3</v>
      </c>
    </row>
    <row r="13" spans="1:16" x14ac:dyDescent="0.35">
      <c r="A13" s="2">
        <v>27</v>
      </c>
      <c r="B13" s="2">
        <v>32.130000000000003</v>
      </c>
      <c r="C13" s="2" t="s">
        <v>5</v>
      </c>
      <c r="D13" s="2" t="s">
        <v>8</v>
      </c>
      <c r="M13" s="2">
        <v>1</v>
      </c>
      <c r="N13" s="2">
        <v>1.19</v>
      </c>
      <c r="O13" s="2" t="s">
        <v>4</v>
      </c>
      <c r="P13" s="2" t="s">
        <v>8</v>
      </c>
    </row>
    <row r="14" spans="1:16" x14ac:dyDescent="0.35">
      <c r="A14" s="2">
        <v>11</v>
      </c>
      <c r="B14" s="2">
        <v>13.09</v>
      </c>
      <c r="C14" s="2" t="s">
        <v>6</v>
      </c>
      <c r="D14" s="2" t="s">
        <v>8</v>
      </c>
      <c r="F14" s="13" t="s">
        <v>0</v>
      </c>
      <c r="G14" s="13" t="s">
        <v>1</v>
      </c>
      <c r="H14" s="13" t="s">
        <v>2</v>
      </c>
      <c r="I14" s="13" t="s">
        <v>3</v>
      </c>
      <c r="M14" s="2">
        <v>13</v>
      </c>
      <c r="N14" s="2">
        <v>15.47</v>
      </c>
      <c r="O14" s="2" t="s">
        <v>4</v>
      </c>
      <c r="P14" s="2" t="s">
        <v>8</v>
      </c>
    </row>
    <row r="15" spans="1:16" x14ac:dyDescent="0.35">
      <c r="A15" s="2">
        <v>17</v>
      </c>
      <c r="B15" s="2">
        <v>20.23</v>
      </c>
      <c r="C15" s="2" t="s">
        <v>6</v>
      </c>
      <c r="D15" s="2" t="s">
        <v>9</v>
      </c>
      <c r="F15" s="14"/>
      <c r="G15" s="14"/>
      <c r="H15" s="14" t="s">
        <v>4</v>
      </c>
      <c r="I15" s="14" t="s">
        <v>8</v>
      </c>
      <c r="J15" s="15" t="s">
        <v>38</v>
      </c>
      <c r="M15" s="2">
        <v>25</v>
      </c>
      <c r="N15" s="2">
        <v>29.75</v>
      </c>
      <c r="O15" s="2" t="s">
        <v>4</v>
      </c>
      <c r="P15" s="2" t="s">
        <v>8</v>
      </c>
    </row>
    <row r="16" spans="1:16" x14ac:dyDescent="0.35">
      <c r="A16" s="2">
        <v>23</v>
      </c>
      <c r="B16" s="2">
        <v>27.37</v>
      </c>
      <c r="C16" s="2" t="s">
        <v>6</v>
      </c>
      <c r="D16" s="2" t="s">
        <v>8</v>
      </c>
    </row>
    <row r="17" spans="1:16" x14ac:dyDescent="0.35">
      <c r="A17" s="2">
        <v>29</v>
      </c>
      <c r="B17" s="2">
        <v>34.51</v>
      </c>
      <c r="C17" s="2" t="s">
        <v>6</v>
      </c>
      <c r="D17" s="2" t="s">
        <v>9</v>
      </c>
      <c r="M17" s="1" t="s">
        <v>0</v>
      </c>
      <c r="N17" s="1" t="s">
        <v>1</v>
      </c>
      <c r="O17" s="1" t="s">
        <v>2</v>
      </c>
      <c r="P17" s="1" t="s">
        <v>3</v>
      </c>
    </row>
    <row r="18" spans="1:16" x14ac:dyDescent="0.35">
      <c r="A18" s="2">
        <v>12</v>
      </c>
      <c r="B18" s="2">
        <v>14.28</v>
      </c>
      <c r="C18" s="2" t="s">
        <v>7</v>
      </c>
      <c r="D18" s="2" t="s">
        <v>9</v>
      </c>
      <c r="F18" s="15" t="s">
        <v>35</v>
      </c>
      <c r="M18" s="2">
        <v>2</v>
      </c>
      <c r="N18" s="2">
        <v>2.38</v>
      </c>
      <c r="O18" s="2" t="s">
        <v>5</v>
      </c>
      <c r="P18" s="2" t="s">
        <v>9</v>
      </c>
    </row>
    <row r="19" spans="1:16" x14ac:dyDescent="0.35">
      <c r="A19" s="2">
        <v>18</v>
      </c>
      <c r="B19" s="2">
        <v>21.42</v>
      </c>
      <c r="C19" s="2" t="s">
        <v>7</v>
      </c>
      <c r="D19" s="2" t="s">
        <v>8</v>
      </c>
      <c r="M19" s="2">
        <v>3</v>
      </c>
      <c r="N19" s="2">
        <v>3.57</v>
      </c>
      <c r="O19" s="2" t="s">
        <v>5</v>
      </c>
      <c r="P19" s="2" t="s">
        <v>8</v>
      </c>
    </row>
    <row r="20" spans="1:16" x14ac:dyDescent="0.35">
      <c r="A20" s="2">
        <v>24</v>
      </c>
      <c r="B20" s="2">
        <v>28.56</v>
      </c>
      <c r="C20" s="2" t="s">
        <v>7</v>
      </c>
      <c r="D20" s="2" t="s">
        <v>9</v>
      </c>
      <c r="F20" s="13" t="s">
        <v>0</v>
      </c>
      <c r="G20" s="13" t="s">
        <v>1</v>
      </c>
      <c r="H20" s="13" t="s">
        <v>2</v>
      </c>
      <c r="I20" s="13" t="s">
        <v>3</v>
      </c>
      <c r="M20" s="2">
        <v>5</v>
      </c>
      <c r="N20" s="2">
        <v>5.95</v>
      </c>
      <c r="O20" s="2" t="s">
        <v>5</v>
      </c>
      <c r="P20" s="2" t="s">
        <v>8</v>
      </c>
    </row>
    <row r="21" spans="1:16" x14ac:dyDescent="0.35">
      <c r="A21" s="2">
        <v>30</v>
      </c>
      <c r="B21" s="2">
        <v>35.700000000000003</v>
      </c>
      <c r="C21" s="2" t="s">
        <v>7</v>
      </c>
      <c r="D21" s="2" t="s">
        <v>10</v>
      </c>
      <c r="F21" s="14"/>
      <c r="G21" s="14"/>
      <c r="H21" s="14" t="s">
        <v>7</v>
      </c>
      <c r="I21" s="14"/>
      <c r="M21" s="2">
        <v>6</v>
      </c>
      <c r="N21" s="2">
        <v>7.14</v>
      </c>
      <c r="O21" s="2" t="s">
        <v>5</v>
      </c>
      <c r="P21" s="2" t="s">
        <v>10</v>
      </c>
    </row>
    <row r="22" spans="1:16" x14ac:dyDescent="0.35">
      <c r="A22" s="2">
        <v>1</v>
      </c>
      <c r="B22" s="2">
        <v>1.19</v>
      </c>
      <c r="C22" s="2" t="s">
        <v>4</v>
      </c>
      <c r="D22" s="2" t="s">
        <v>8</v>
      </c>
      <c r="F22" s="14"/>
      <c r="G22" s="14"/>
      <c r="H22" s="14" t="s">
        <v>5</v>
      </c>
      <c r="I22" s="14"/>
      <c r="J22" s="15" t="s">
        <v>37</v>
      </c>
      <c r="M22" s="2">
        <v>8</v>
      </c>
      <c r="N22" s="2">
        <v>9.52</v>
      </c>
      <c r="O22" s="2" t="s">
        <v>5</v>
      </c>
      <c r="P22" s="2" t="s">
        <v>10</v>
      </c>
    </row>
    <row r="23" spans="1:16" x14ac:dyDescent="0.35">
      <c r="A23" s="2">
        <v>4</v>
      </c>
      <c r="B23" s="2">
        <v>4.76</v>
      </c>
      <c r="C23" s="2" t="s">
        <v>4</v>
      </c>
      <c r="D23" s="2" t="s">
        <v>10</v>
      </c>
      <c r="M23" s="2">
        <v>9</v>
      </c>
      <c r="N23" s="2">
        <v>10.71</v>
      </c>
      <c r="O23" s="2" t="s">
        <v>5</v>
      </c>
      <c r="P23" s="2" t="s">
        <v>8</v>
      </c>
    </row>
    <row r="24" spans="1:16" x14ac:dyDescent="0.35">
      <c r="A24" s="2">
        <v>7</v>
      </c>
      <c r="B24" s="2">
        <v>8.33</v>
      </c>
      <c r="C24" s="2" t="s">
        <v>4</v>
      </c>
      <c r="D24" s="2" t="s">
        <v>9</v>
      </c>
      <c r="F24" s="15" t="s">
        <v>39</v>
      </c>
      <c r="M24" s="2">
        <v>14</v>
      </c>
      <c r="N24" s="2">
        <v>16.66</v>
      </c>
      <c r="O24" s="2" t="s">
        <v>5</v>
      </c>
      <c r="P24" s="2" t="s">
        <v>10</v>
      </c>
    </row>
    <row r="25" spans="1:16" x14ac:dyDescent="0.35">
      <c r="A25" s="2">
        <v>10</v>
      </c>
      <c r="B25" s="2">
        <v>11.9</v>
      </c>
      <c r="C25" s="2" t="s">
        <v>4</v>
      </c>
      <c r="D25" s="2" t="s">
        <v>10</v>
      </c>
      <c r="M25" s="2">
        <v>15</v>
      </c>
      <c r="N25" s="2">
        <v>17.850000000000001</v>
      </c>
      <c r="O25" s="2" t="s">
        <v>5</v>
      </c>
      <c r="P25" s="2" t="s">
        <v>8</v>
      </c>
    </row>
    <row r="26" spans="1:16" x14ac:dyDescent="0.35">
      <c r="A26" s="2">
        <v>13</v>
      </c>
      <c r="B26" s="2">
        <v>15.47</v>
      </c>
      <c r="C26" s="2" t="s">
        <v>4</v>
      </c>
      <c r="D26" s="2" t="s">
        <v>8</v>
      </c>
      <c r="F26" s="13" t="s">
        <v>0</v>
      </c>
      <c r="G26" s="13" t="s">
        <v>1</v>
      </c>
      <c r="H26" s="13" t="s">
        <v>2</v>
      </c>
      <c r="I26" s="13" t="s">
        <v>3</v>
      </c>
      <c r="J26" s="2" t="s">
        <v>40</v>
      </c>
      <c r="M26" s="2">
        <v>20</v>
      </c>
      <c r="N26" s="2">
        <v>23.8</v>
      </c>
      <c r="O26" s="2" t="s">
        <v>5</v>
      </c>
      <c r="P26" s="2" t="s">
        <v>8</v>
      </c>
    </row>
    <row r="27" spans="1:16" x14ac:dyDescent="0.35">
      <c r="A27" s="2">
        <v>16</v>
      </c>
      <c r="B27" s="2">
        <v>19.04</v>
      </c>
      <c r="C27" s="2" t="s">
        <v>4</v>
      </c>
      <c r="D27" s="2" t="s">
        <v>10</v>
      </c>
      <c r="F27" s="14" t="s">
        <v>42</v>
      </c>
      <c r="G27" s="14"/>
      <c r="H27" s="14" t="s">
        <v>6</v>
      </c>
      <c r="I27" s="14"/>
      <c r="J27" s="2" t="s">
        <v>41</v>
      </c>
      <c r="M27" s="2">
        <v>21</v>
      </c>
      <c r="N27" s="2">
        <v>24.99</v>
      </c>
      <c r="O27" s="2" t="s">
        <v>5</v>
      </c>
      <c r="P27" s="2" t="s">
        <v>8</v>
      </c>
    </row>
    <row r="28" spans="1:16" x14ac:dyDescent="0.35">
      <c r="A28" s="2">
        <v>19</v>
      </c>
      <c r="B28" s="2">
        <v>22.61</v>
      </c>
      <c r="C28" s="2" t="s">
        <v>4</v>
      </c>
      <c r="D28" s="2" t="s">
        <v>9</v>
      </c>
      <c r="F28" s="14" t="s">
        <v>43</v>
      </c>
      <c r="G28" s="14"/>
      <c r="H28" s="14" t="s">
        <v>6</v>
      </c>
      <c r="I28" s="14"/>
      <c r="M28" s="2">
        <v>26</v>
      </c>
      <c r="N28" s="2">
        <v>30.94</v>
      </c>
      <c r="O28" s="2" t="s">
        <v>5</v>
      </c>
      <c r="P28" s="2" t="s">
        <v>10</v>
      </c>
    </row>
    <row r="29" spans="1:16" x14ac:dyDescent="0.35">
      <c r="A29" s="2">
        <v>22</v>
      </c>
      <c r="B29" s="2">
        <v>26.18</v>
      </c>
      <c r="C29" s="2" t="s">
        <v>4</v>
      </c>
      <c r="D29" s="2" t="s">
        <v>9</v>
      </c>
      <c r="M29" s="2">
        <v>27</v>
      </c>
      <c r="N29" s="2">
        <v>32.130000000000003</v>
      </c>
      <c r="O29" s="2" t="s">
        <v>5</v>
      </c>
      <c r="P29" s="2" t="s">
        <v>8</v>
      </c>
    </row>
    <row r="30" spans="1:16" x14ac:dyDescent="0.35">
      <c r="A30" s="2">
        <v>25</v>
      </c>
      <c r="B30" s="2">
        <v>29.75</v>
      </c>
      <c r="C30" s="2" t="s">
        <v>4</v>
      </c>
      <c r="D30" s="2" t="s">
        <v>8</v>
      </c>
      <c r="M30" s="2">
        <v>12</v>
      </c>
      <c r="N30" s="2">
        <v>14.28</v>
      </c>
      <c r="O30" s="2" t="s">
        <v>7</v>
      </c>
      <c r="P30" s="2" t="s">
        <v>9</v>
      </c>
    </row>
    <row r="31" spans="1:16" x14ac:dyDescent="0.35">
      <c r="A31" s="2">
        <v>28</v>
      </c>
      <c r="B31" s="2">
        <v>33.32</v>
      </c>
      <c r="C31" s="2" t="s">
        <v>4</v>
      </c>
      <c r="D31" s="2" t="s">
        <v>10</v>
      </c>
      <c r="F31" s="13" t="s">
        <v>0</v>
      </c>
      <c r="G31" s="13" t="s">
        <v>0</v>
      </c>
      <c r="H31" s="13" t="s">
        <v>2</v>
      </c>
      <c r="I31" s="13" t="s">
        <v>3</v>
      </c>
      <c r="M31" s="2">
        <v>18</v>
      </c>
      <c r="N31" s="2">
        <v>21.42</v>
      </c>
      <c r="O31" s="2" t="s">
        <v>7</v>
      </c>
      <c r="P31" s="2" t="s">
        <v>8</v>
      </c>
    </row>
    <row r="32" spans="1:16" x14ac:dyDescent="0.35">
      <c r="F32" s="14" t="s">
        <v>42</v>
      </c>
      <c r="G32" s="14" t="s">
        <v>44</v>
      </c>
      <c r="H32" s="14" t="s">
        <v>6</v>
      </c>
      <c r="I32" s="14"/>
      <c r="M32" s="2">
        <v>24</v>
      </c>
      <c r="N32" s="2">
        <v>28.56</v>
      </c>
      <c r="O32" s="2" t="s">
        <v>7</v>
      </c>
      <c r="P32" s="2" t="s">
        <v>9</v>
      </c>
    </row>
    <row r="33" spans="6:16" x14ac:dyDescent="0.35">
      <c r="F33" s="16"/>
      <c r="G33" s="16"/>
      <c r="H33" s="16"/>
      <c r="I33" s="16"/>
      <c r="M33" s="2">
        <v>30</v>
      </c>
      <c r="N33" s="2">
        <v>35.700000000000003</v>
      </c>
      <c r="O33" s="2" t="s">
        <v>7</v>
      </c>
      <c r="P33" s="2" t="s">
        <v>10</v>
      </c>
    </row>
    <row r="35" spans="6:16" x14ac:dyDescent="0.35">
      <c r="M35" s="1" t="s">
        <v>0</v>
      </c>
      <c r="N35" s="1" t="s">
        <v>1</v>
      </c>
      <c r="O35" s="1" t="s">
        <v>2</v>
      </c>
      <c r="P35" s="1" t="s">
        <v>3</v>
      </c>
    </row>
    <row r="36" spans="6:16" x14ac:dyDescent="0.35">
      <c r="M36" s="2">
        <v>11</v>
      </c>
      <c r="N36" s="2">
        <v>13.09</v>
      </c>
      <c r="O36" s="2" t="s">
        <v>6</v>
      </c>
      <c r="P36" s="2" t="s">
        <v>8</v>
      </c>
    </row>
  </sheetData>
  <sortState xmlns:xlrd2="http://schemas.microsoft.com/office/spreadsheetml/2017/richdata2" ref="A2:D31">
    <sortCondition ref="C2:C31"/>
  </sortState>
  <mergeCells count="5">
    <mergeCell ref="F2:I2"/>
    <mergeCell ref="L8:O8"/>
    <mergeCell ref="L9:O9"/>
    <mergeCell ref="L7:O7"/>
    <mergeCell ref="K5:L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0_Start</vt:lpstr>
      <vt:lpstr>'0_Start'!Suchkriterien</vt:lpstr>
      <vt:lpstr>'0_Start'!Zielbereich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Lube</dc:creator>
  <cp:lastModifiedBy>Pichler Matthias</cp:lastModifiedBy>
  <dcterms:created xsi:type="dcterms:W3CDTF">2019-10-13T05:23:23Z</dcterms:created>
  <dcterms:modified xsi:type="dcterms:W3CDTF">2025-10-22T12:29:16Z</dcterms:modified>
</cp:coreProperties>
</file>