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Schule\Infi excel\"/>
    </mc:Choice>
  </mc:AlternateContent>
  <xr:revisionPtr revIDLastSave="0" documentId="13_ncr:1_{7CD1C4AC-9993-4AED-A0DB-970FC4197B91}" xr6:coauthVersionLast="47" xr6:coauthVersionMax="47" xr10:uidLastSave="{00000000-0000-0000-0000-000000000000}"/>
  <bookViews>
    <workbookView xWindow="-110" yWindow="-110" windowWidth="19420" windowHeight="11500" firstSheet="1" activeTab="7" xr2:uid="{00000000-000D-0000-FFFF-FFFF00000000}"/>
  </bookViews>
  <sheets>
    <sheet name="Wenn I" sheetId="1" r:id="rId1"/>
    <sheet name="Wenn II" sheetId="2" r:id="rId2"/>
    <sheet name="Wenn III" sheetId="3" r:id="rId3"/>
    <sheet name="Wenn IV" sheetId="4" r:id="rId4"/>
    <sheet name="Wenn V" sheetId="5" r:id="rId5"/>
    <sheet name="Wenn VI" sheetId="6" r:id="rId6"/>
    <sheet name="Wenn VII" sheetId="7" r:id="rId7"/>
    <sheet name="Tabelle7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7" l="1"/>
  <c r="B6" i="7"/>
  <c r="B7" i="7"/>
  <c r="B8" i="7"/>
  <c r="B9" i="7"/>
  <c r="B10" i="7"/>
  <c r="B5" i="6"/>
  <c r="B6" i="6"/>
  <c r="B7" i="6"/>
  <c r="B8" i="6"/>
  <c r="B9" i="6"/>
  <c r="B10" i="6"/>
  <c r="B5" i="5"/>
  <c r="B6" i="5"/>
  <c r="B7" i="5"/>
  <c r="B8" i="5"/>
  <c r="B9" i="5"/>
  <c r="B10" i="5"/>
  <c r="C5" i="4"/>
  <c r="C6" i="4"/>
  <c r="C7" i="4"/>
  <c r="C8" i="4"/>
  <c r="C9" i="4"/>
  <c r="C10" i="4"/>
  <c r="C5" i="3"/>
  <c r="C6" i="3"/>
  <c r="C7" i="3"/>
  <c r="C8" i="3"/>
  <c r="C9" i="3"/>
  <c r="C10" i="3"/>
  <c r="B5" i="2"/>
  <c r="B6" i="2"/>
  <c r="B7" i="2"/>
  <c r="B8" i="2"/>
  <c r="B9" i="2"/>
  <c r="B10" i="2"/>
  <c r="C5" i="1"/>
  <c r="C6" i="1"/>
  <c r="C7" i="1"/>
  <c r="C8" i="1"/>
  <c r="C9" i="1"/>
  <c r="C10" i="1"/>
  <c r="C4" i="1"/>
  <c r="B4" i="2"/>
  <c r="C4" i="4"/>
  <c r="B4" i="5"/>
  <c r="B4" i="6"/>
  <c r="B4" i="7"/>
  <c r="C4" i="3"/>
</calcChain>
</file>

<file path=xl/sharedStrings.xml><?xml version="1.0" encoding="utf-8"?>
<sst xmlns="http://schemas.openxmlformats.org/spreadsheetml/2006/main" count="99" uniqueCount="65">
  <si>
    <t>Name</t>
  </si>
  <si>
    <t>in %</t>
  </si>
  <si>
    <t>Ergebnis</t>
  </si>
  <si>
    <t>Jan</t>
  </si>
  <si>
    <t>Aaron</t>
  </si>
  <si>
    <t>Christian</t>
  </si>
  <si>
    <t>Lisa</t>
  </si>
  <si>
    <t>Markus</t>
  </si>
  <si>
    <t>Stephen</t>
  </si>
  <si>
    <t>Lukas</t>
  </si>
  <si>
    <t xml:space="preserve">1. Wurden 50% oder mehr Prozent erreicht, ist der Kandidat 
positiv (Ausgabe: "Bestanden"). Sonst soll "Durchgefallen" ausgegeben werden. </t>
  </si>
  <si>
    <t>Gäste</t>
  </si>
  <si>
    <t>Erwachsener</t>
  </si>
  <si>
    <t>Kind</t>
  </si>
  <si>
    <t>Zuschlag für Erwachsene:</t>
  </si>
  <si>
    <t>2. Kinder zahlen den regulären Preis von € 7,50. Erwachsene hingegen den Kinderpreis plus den Zuschlag (Berechnung in der Wenn-Funktion). Arbeiten Sie mit Zellbezügen. Ausgabe: jeweils den zu zahlenden Preis.</t>
  </si>
  <si>
    <t>Preis</t>
  </si>
  <si>
    <t xml:space="preserve">3. Berechnen Sie die Provision. Wenn ein Umsatz von € 300.000 überschritten wurde, erhält der Mitarbeit eine Provision von 6% (Berechnung der Provision), ansonsten soll nichts ausgegeben werden. </t>
  </si>
  <si>
    <t>Matthew</t>
  </si>
  <si>
    <t>Jonathen</t>
  </si>
  <si>
    <t>Colt</t>
  </si>
  <si>
    <t>Syngyn</t>
  </si>
  <si>
    <t>Tania</t>
  </si>
  <si>
    <t>Larissa</t>
  </si>
  <si>
    <t>Kalani</t>
  </si>
  <si>
    <t>Umsatz</t>
  </si>
  <si>
    <t>Mitarbeiter</t>
  </si>
  <si>
    <t>Bonus?</t>
  </si>
  <si>
    <t>4. Frauen bekommen Rotwein, Männer Weißwein. Ausgabe: "Rotwein" oder "Weißwein".</t>
  </si>
  <si>
    <t>Miranda</t>
  </si>
  <si>
    <t>Kilian</t>
  </si>
  <si>
    <t>Jana</t>
  </si>
  <si>
    <t>Cloe</t>
  </si>
  <si>
    <t>Thomas</t>
  </si>
  <si>
    <t>Lewis</t>
  </si>
  <si>
    <t>Geschlecht</t>
  </si>
  <si>
    <t>Männlich</t>
  </si>
  <si>
    <t>Weiblich</t>
  </si>
  <si>
    <t>Wein?</t>
  </si>
  <si>
    <t>Kennzeichen</t>
  </si>
  <si>
    <t>Stadt</t>
  </si>
  <si>
    <t>I</t>
  </si>
  <si>
    <t>G</t>
  </si>
  <si>
    <t>W</t>
  </si>
  <si>
    <t>5. Vergeben Sie entweder "Wien", "Graz" oder "Innsbruck" je nach Autokennzeichen. Arbeiten Sie mit Zellbezügen.</t>
  </si>
  <si>
    <t>Innsbruck</t>
  </si>
  <si>
    <t>Graz</t>
  </si>
  <si>
    <t>Wien</t>
  </si>
  <si>
    <t>Jugendtarif</t>
  </si>
  <si>
    <t>Kindertarif</t>
  </si>
  <si>
    <t>Erwachsenentarif</t>
  </si>
  <si>
    <t>Person</t>
  </si>
  <si>
    <t>Jugendlicher</t>
  </si>
  <si>
    <t>Tarif</t>
  </si>
  <si>
    <t>6. Unterscheiden Sie zwischen Kinder-, Jugend- und Erwachsenenskitickets. Ausgabe jeweils der Preis.</t>
  </si>
  <si>
    <t>7. Je nach Bezirk, soll der Berater/die Beraterin aus dem nächsten Tabellenblatt geholt werden. Zellbezug auf das nächste Tabellenblatt. Ausgabe: Name des jeweiligen Betreuers/der jeweiligen Betreuerin.</t>
  </si>
  <si>
    <t>LI</t>
  </si>
  <si>
    <t>LN</t>
  </si>
  <si>
    <t>MT</t>
  </si>
  <si>
    <t>BM</t>
  </si>
  <si>
    <t>Mayer</t>
  </si>
  <si>
    <t>Linder</t>
  </si>
  <si>
    <t>Großer</t>
  </si>
  <si>
    <t>Minner</t>
  </si>
  <si>
    <t>Kinderpreis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</si>
</sst>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2" fillId="0" borderId="0" xfId="1" applyFont="1"/>
    <xf numFmtId="0" fontId="4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9" fontId="2" fillId="0" borderId="0" xfId="0" applyNumberFormat="1" applyFont="1"/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</cellXfs>
  <cellStyles count="3">
    <cellStyle name="Standard" xfId="0" builtinId="0"/>
    <cellStyle name="Währung" xfId="1" builtinId="4"/>
    <cellStyle name="Währung 2" xfId="2" xr:uid="{212D1F7D-C8BB-4C9E-A7C7-843B340846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="145" zoomScaleNormal="145" workbookViewId="0">
      <selection activeCell="C4" sqref="C4:C10"/>
    </sheetView>
  </sheetViews>
  <sheetFormatPr baseColWidth="10" defaultColWidth="9.1796875" defaultRowHeight="14" x14ac:dyDescent="0.3"/>
  <cols>
    <col min="1" max="1" width="9.1796875" style="1"/>
    <col min="2" max="2" width="14.1796875" style="1" customWidth="1"/>
    <col min="3" max="3" width="19.54296875" style="1" customWidth="1"/>
    <col min="4" max="16384" width="9.1796875" style="1"/>
  </cols>
  <sheetData>
    <row r="1" spans="1:4" ht="45" customHeight="1" x14ac:dyDescent="0.3">
      <c r="A1" s="12" t="s">
        <v>10</v>
      </c>
      <c r="B1" s="13"/>
      <c r="C1" s="13"/>
      <c r="D1" s="13"/>
    </row>
    <row r="3" spans="1:4" ht="15" x14ac:dyDescent="0.3">
      <c r="A3" s="8" t="s">
        <v>0</v>
      </c>
      <c r="B3" s="8" t="s">
        <v>1</v>
      </c>
      <c r="C3" s="8" t="s">
        <v>2</v>
      </c>
    </row>
    <row r="4" spans="1:4" x14ac:dyDescent="0.3">
      <c r="A4" s="1" t="s">
        <v>3</v>
      </c>
      <c r="B4" s="11">
        <v>0.5</v>
      </c>
      <c r="C4" s="1" t="str">
        <f>IF(B4 &lt; 50%,"Durchgefallen","Bestanden")</f>
        <v>Bestanden</v>
      </c>
    </row>
    <row r="5" spans="1:4" x14ac:dyDescent="0.3">
      <c r="A5" s="1" t="s">
        <v>4</v>
      </c>
      <c r="B5" s="11">
        <v>0.11</v>
      </c>
      <c r="C5" s="1" t="str">
        <f t="shared" ref="C5:C10" si="0">IF(B5 &lt; 50%,"Durchgefallen","Bestanden")</f>
        <v>Durchgefallen</v>
      </c>
    </row>
    <row r="6" spans="1:4" x14ac:dyDescent="0.3">
      <c r="A6" s="1" t="s">
        <v>5</v>
      </c>
      <c r="B6" s="11">
        <v>0.11</v>
      </c>
      <c r="C6" s="1" t="str">
        <f t="shared" si="0"/>
        <v>Durchgefallen</v>
      </c>
    </row>
    <row r="7" spans="1:4" x14ac:dyDescent="0.3">
      <c r="A7" s="1" t="s">
        <v>6</v>
      </c>
      <c r="B7" s="11">
        <v>0.89</v>
      </c>
      <c r="C7" s="1" t="str">
        <f t="shared" si="0"/>
        <v>Bestanden</v>
      </c>
    </row>
    <row r="8" spans="1:4" x14ac:dyDescent="0.3">
      <c r="A8" s="1" t="s">
        <v>8</v>
      </c>
      <c r="B8" s="11">
        <v>0.99</v>
      </c>
      <c r="C8" s="1" t="str">
        <f t="shared" si="0"/>
        <v>Bestanden</v>
      </c>
    </row>
    <row r="9" spans="1:4" x14ac:dyDescent="0.3">
      <c r="A9" s="1" t="s">
        <v>9</v>
      </c>
      <c r="B9" s="11">
        <v>0.51</v>
      </c>
      <c r="C9" s="1" t="str">
        <f t="shared" si="0"/>
        <v>Bestanden</v>
      </c>
    </row>
    <row r="10" spans="1:4" x14ac:dyDescent="0.3">
      <c r="A10" s="1" t="s">
        <v>7</v>
      </c>
      <c r="B10" s="11">
        <v>0.32</v>
      </c>
      <c r="C10" s="1" t="str">
        <f t="shared" si="0"/>
        <v>Durchgefallen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F15A-4539-4F4F-9233-D2D0B83EBBC7}">
  <dimension ref="A1:F10"/>
  <sheetViews>
    <sheetView zoomScale="160" zoomScaleNormal="160" workbookViewId="0">
      <selection activeCell="B4" sqref="B4:B10"/>
    </sheetView>
  </sheetViews>
  <sheetFormatPr baseColWidth="10" defaultColWidth="9.1796875" defaultRowHeight="14" x14ac:dyDescent="0.3"/>
  <cols>
    <col min="1" max="1" width="12.26953125" style="1" customWidth="1"/>
    <col min="2" max="2" width="24" style="1" customWidth="1"/>
    <col min="3" max="3" width="19.54296875" style="1" customWidth="1"/>
    <col min="4" max="4" width="9.1796875" style="1"/>
    <col min="5" max="5" width="13.7265625" style="1" customWidth="1"/>
    <col min="6" max="6" width="13.26953125" style="1" customWidth="1"/>
    <col min="7" max="16384" width="9.1796875" style="1"/>
  </cols>
  <sheetData>
    <row r="1" spans="1:6" ht="45" customHeight="1" x14ac:dyDescent="0.3">
      <c r="A1" s="12" t="s">
        <v>15</v>
      </c>
      <c r="B1" s="13"/>
      <c r="C1" s="13"/>
      <c r="D1" s="13"/>
    </row>
    <row r="3" spans="1:6" ht="15" x14ac:dyDescent="0.3">
      <c r="A3" s="8" t="s">
        <v>11</v>
      </c>
      <c r="B3" s="8" t="s">
        <v>16</v>
      </c>
    </row>
    <row r="4" spans="1:6" x14ac:dyDescent="0.3">
      <c r="A4" s="1" t="s">
        <v>12</v>
      </c>
      <c r="B4" s="7">
        <f>IF(A4 = "Erwachsener",SUM($F$4:$F$5),$F$4)</f>
        <v>18.7</v>
      </c>
      <c r="D4" s="1" t="s">
        <v>64</v>
      </c>
      <c r="F4" s="7">
        <v>7.5</v>
      </c>
    </row>
    <row r="5" spans="1:6" x14ac:dyDescent="0.3">
      <c r="A5" s="1" t="s">
        <v>13</v>
      </c>
      <c r="B5" s="7">
        <f t="shared" ref="B5:B10" si="0">IF(A5 = "Erwachsener",SUM($F$4:$F$5),$F$4)</f>
        <v>7.5</v>
      </c>
      <c r="D5" s="1" t="s">
        <v>14</v>
      </c>
      <c r="F5" s="7">
        <v>11.2</v>
      </c>
    </row>
    <row r="6" spans="1:6" x14ac:dyDescent="0.3">
      <c r="A6" s="1" t="s">
        <v>13</v>
      </c>
      <c r="B6" s="7">
        <f t="shared" si="0"/>
        <v>7.5</v>
      </c>
    </row>
    <row r="7" spans="1:6" x14ac:dyDescent="0.3">
      <c r="A7" s="1" t="s">
        <v>13</v>
      </c>
      <c r="B7" s="7">
        <f t="shared" si="0"/>
        <v>7.5</v>
      </c>
    </row>
    <row r="8" spans="1:6" x14ac:dyDescent="0.3">
      <c r="A8" s="1" t="s">
        <v>12</v>
      </c>
      <c r="B8" s="7">
        <f t="shared" si="0"/>
        <v>18.7</v>
      </c>
    </row>
    <row r="9" spans="1:6" x14ac:dyDescent="0.3">
      <c r="A9" s="1" t="s">
        <v>12</v>
      </c>
      <c r="B9" s="7">
        <f t="shared" si="0"/>
        <v>18.7</v>
      </c>
    </row>
    <row r="10" spans="1:6" x14ac:dyDescent="0.3">
      <c r="A10" s="1" t="s">
        <v>13</v>
      </c>
      <c r="B10" s="7">
        <f t="shared" si="0"/>
        <v>7.5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EFB6-2DE1-4DB7-8BDB-0810CE969A54}">
  <dimension ref="A1:G10"/>
  <sheetViews>
    <sheetView zoomScale="130" zoomScaleNormal="130" workbookViewId="0">
      <selection activeCell="C4" sqref="C4:C10"/>
    </sheetView>
  </sheetViews>
  <sheetFormatPr baseColWidth="10" defaultColWidth="9.1796875" defaultRowHeight="14" x14ac:dyDescent="0.3"/>
  <cols>
    <col min="1" max="1" width="12.26953125" style="1" customWidth="1"/>
    <col min="2" max="2" width="24" style="1" customWidth="1"/>
    <col min="3" max="3" width="19.54296875" style="1" customWidth="1"/>
    <col min="4" max="4" width="9.1796875" style="1"/>
    <col min="5" max="5" width="13.7265625" style="1" customWidth="1"/>
    <col min="6" max="6" width="13.26953125" style="1" customWidth="1"/>
    <col min="7" max="16384" width="9.1796875" style="1"/>
  </cols>
  <sheetData>
    <row r="1" spans="1:7" ht="45" customHeight="1" x14ac:dyDescent="0.3">
      <c r="A1" s="12" t="s">
        <v>17</v>
      </c>
      <c r="B1" s="13"/>
      <c r="C1" s="13"/>
      <c r="D1" s="13"/>
    </row>
    <row r="3" spans="1:7" ht="15" x14ac:dyDescent="0.3">
      <c r="A3" s="8" t="s">
        <v>26</v>
      </c>
      <c r="B3" s="8" t="s">
        <v>25</v>
      </c>
      <c r="C3" s="8" t="s">
        <v>27</v>
      </c>
    </row>
    <row r="4" spans="1:7" x14ac:dyDescent="0.3">
      <c r="A4" s="1" t="s">
        <v>18</v>
      </c>
      <c r="B4" s="7">
        <v>124666</v>
      </c>
      <c r="C4" s="7" t="str">
        <f>IF(B4 &gt; 300000,B4 * 0.06,"")</f>
        <v/>
      </c>
      <c r="G4" s="7"/>
    </row>
    <row r="5" spans="1:7" x14ac:dyDescent="0.3">
      <c r="A5" s="1" t="s">
        <v>19</v>
      </c>
      <c r="B5" s="7">
        <v>520</v>
      </c>
      <c r="C5" s="7" t="str">
        <f t="shared" ref="C5:C10" si="0">IF(B5 &gt; 300000,B5 * 0.06,"")</f>
        <v/>
      </c>
      <c r="G5" s="7"/>
    </row>
    <row r="6" spans="1:7" x14ac:dyDescent="0.3">
      <c r="A6" s="1" t="s">
        <v>20</v>
      </c>
      <c r="B6" s="7">
        <v>1455555</v>
      </c>
      <c r="C6" s="7">
        <f t="shared" si="0"/>
        <v>87333.3</v>
      </c>
    </row>
    <row r="7" spans="1:7" x14ac:dyDescent="0.3">
      <c r="A7" s="1" t="s">
        <v>21</v>
      </c>
      <c r="B7" s="7">
        <v>300000</v>
      </c>
      <c r="C7" s="7" t="str">
        <f t="shared" si="0"/>
        <v/>
      </c>
    </row>
    <row r="8" spans="1:7" x14ac:dyDescent="0.3">
      <c r="A8" s="1" t="s">
        <v>22</v>
      </c>
      <c r="B8" s="7">
        <v>300001</v>
      </c>
      <c r="C8" s="7">
        <f t="shared" si="0"/>
        <v>18000.059999999998</v>
      </c>
    </row>
    <row r="9" spans="1:7" x14ac:dyDescent="0.3">
      <c r="A9" s="1" t="s">
        <v>23</v>
      </c>
      <c r="B9" s="7">
        <v>21444</v>
      </c>
      <c r="C9" s="7" t="str">
        <f t="shared" si="0"/>
        <v/>
      </c>
    </row>
    <row r="10" spans="1:7" x14ac:dyDescent="0.3">
      <c r="A10" s="1" t="s">
        <v>24</v>
      </c>
      <c r="B10" s="7">
        <v>6868963</v>
      </c>
      <c r="C10" s="7">
        <f t="shared" si="0"/>
        <v>412137.77999999997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6B28-FBD3-4A26-AA68-3D4EA0E96E01}">
  <dimension ref="A1:G10"/>
  <sheetViews>
    <sheetView zoomScale="160" zoomScaleNormal="160" workbookViewId="0">
      <selection activeCell="C4" sqref="C4:C10"/>
    </sheetView>
  </sheetViews>
  <sheetFormatPr baseColWidth="10" defaultColWidth="9.1796875" defaultRowHeight="14" x14ac:dyDescent="0.3"/>
  <cols>
    <col min="1" max="1" width="12.26953125" style="1" customWidth="1"/>
    <col min="2" max="2" width="24" style="1" customWidth="1"/>
    <col min="3" max="3" width="19.54296875" style="1" customWidth="1"/>
    <col min="4" max="4" width="9.1796875" style="1"/>
    <col min="5" max="5" width="13.7265625" style="1" customWidth="1"/>
    <col min="6" max="6" width="13.26953125" style="1" customWidth="1"/>
    <col min="7" max="16384" width="9.1796875" style="1"/>
  </cols>
  <sheetData>
    <row r="1" spans="1:7" ht="32.25" customHeight="1" x14ac:dyDescent="0.3">
      <c r="A1" s="12" t="s">
        <v>28</v>
      </c>
      <c r="B1" s="13"/>
      <c r="C1" s="13"/>
      <c r="D1" s="13"/>
    </row>
    <row r="3" spans="1:7" ht="15" x14ac:dyDescent="0.3">
      <c r="A3" s="8" t="s">
        <v>26</v>
      </c>
      <c r="B3" s="8" t="s">
        <v>35</v>
      </c>
      <c r="C3" s="8" t="s">
        <v>38</v>
      </c>
    </row>
    <row r="4" spans="1:7" x14ac:dyDescent="0.3">
      <c r="A4" s="1" t="s">
        <v>30</v>
      </c>
      <c r="B4" s="7" t="s">
        <v>36</v>
      </c>
      <c r="C4" s="1" t="str">
        <f>IF(B4 = "Männlich","Rotwein","Weißwein")</f>
        <v>Rotwein</v>
      </c>
      <c r="G4" s="7"/>
    </row>
    <row r="5" spans="1:7" x14ac:dyDescent="0.3">
      <c r="A5" s="1" t="s">
        <v>31</v>
      </c>
      <c r="B5" s="7" t="s">
        <v>37</v>
      </c>
      <c r="C5" s="1" t="str">
        <f t="shared" ref="C5:C10" si="0">IF(B5 = "Männlich","Rotwein","Weißwein")</f>
        <v>Weißwein</v>
      </c>
      <c r="G5" s="7"/>
    </row>
    <row r="6" spans="1:7" x14ac:dyDescent="0.3">
      <c r="A6" s="1" t="s">
        <v>29</v>
      </c>
      <c r="B6" s="7" t="s">
        <v>37</v>
      </c>
      <c r="C6" s="1" t="str">
        <f t="shared" si="0"/>
        <v>Weißwein</v>
      </c>
    </row>
    <row r="7" spans="1:7" x14ac:dyDescent="0.3">
      <c r="A7" s="1" t="s">
        <v>32</v>
      </c>
      <c r="B7" s="7" t="s">
        <v>37</v>
      </c>
      <c r="C7" s="1" t="str">
        <f t="shared" si="0"/>
        <v>Weißwein</v>
      </c>
    </row>
    <row r="8" spans="1:7" x14ac:dyDescent="0.3">
      <c r="A8" s="1" t="s">
        <v>33</v>
      </c>
      <c r="B8" s="7" t="s">
        <v>36</v>
      </c>
      <c r="C8" s="1" t="str">
        <f t="shared" si="0"/>
        <v>Rotwein</v>
      </c>
    </row>
    <row r="9" spans="1:7" x14ac:dyDescent="0.3">
      <c r="A9" s="1" t="s">
        <v>34</v>
      </c>
      <c r="B9" s="7" t="s">
        <v>36</v>
      </c>
      <c r="C9" s="1" t="str">
        <f t="shared" si="0"/>
        <v>Rotwein</v>
      </c>
    </row>
    <row r="10" spans="1:7" x14ac:dyDescent="0.3">
      <c r="A10" s="1" t="s">
        <v>3</v>
      </c>
      <c r="B10" s="7" t="s">
        <v>36</v>
      </c>
      <c r="C10" s="1" t="str">
        <f t="shared" si="0"/>
        <v>Rotwein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E345-9FAE-4A9F-8E0F-9E6E8F3D47C3}">
  <dimension ref="A1:G10"/>
  <sheetViews>
    <sheetView zoomScale="130" zoomScaleNormal="130" workbookViewId="0">
      <selection activeCell="B4" sqref="B4:B10"/>
    </sheetView>
  </sheetViews>
  <sheetFormatPr baseColWidth="10" defaultColWidth="9.1796875" defaultRowHeight="14" x14ac:dyDescent="0.3"/>
  <cols>
    <col min="1" max="1" width="14.453125" style="1" customWidth="1"/>
    <col min="2" max="2" width="24" style="1" customWidth="1"/>
    <col min="3" max="3" width="19.54296875" style="1" customWidth="1"/>
    <col min="4" max="4" width="9.1796875" style="1"/>
    <col min="5" max="5" width="13.7265625" style="1" customWidth="1"/>
    <col min="6" max="6" width="13.26953125" style="1" customWidth="1"/>
    <col min="7" max="16384" width="9.1796875" style="1"/>
  </cols>
  <sheetData>
    <row r="1" spans="1:7" ht="32.25" customHeight="1" x14ac:dyDescent="0.3">
      <c r="A1" s="12" t="s">
        <v>44</v>
      </c>
      <c r="B1" s="13"/>
      <c r="C1" s="13"/>
      <c r="D1" s="13"/>
    </row>
    <row r="3" spans="1:7" ht="15" x14ac:dyDescent="0.3">
      <c r="A3" s="8" t="s">
        <v>39</v>
      </c>
      <c r="B3" s="8" t="s">
        <v>40</v>
      </c>
    </row>
    <row r="4" spans="1:7" x14ac:dyDescent="0.3">
      <c r="A4" s="3" t="s">
        <v>41</v>
      </c>
      <c r="B4" s="7" t="str">
        <f>IF(A4="I","Inssbruck",IF(A4="G","Graz",IF(A4="W","Wien","Fehler")))</f>
        <v>Inssbruck</v>
      </c>
      <c r="D4" s="9" t="s">
        <v>41</v>
      </c>
      <c r="E4" s="2" t="s">
        <v>45</v>
      </c>
      <c r="G4" s="7"/>
    </row>
    <row r="5" spans="1:7" x14ac:dyDescent="0.3">
      <c r="A5" s="3" t="s">
        <v>41</v>
      </c>
      <c r="B5" s="7" t="str">
        <f t="shared" ref="B5:B10" si="0">IF(A5="I","Inssbruck",IF(A5="G","Graz",IF(A5="W","Wien","Fehler")))</f>
        <v>Inssbruck</v>
      </c>
      <c r="D5" s="9" t="s">
        <v>42</v>
      </c>
      <c r="E5" s="2" t="s">
        <v>46</v>
      </c>
      <c r="G5" s="7"/>
    </row>
    <row r="6" spans="1:7" x14ac:dyDescent="0.3">
      <c r="A6" s="3" t="s">
        <v>42</v>
      </c>
      <c r="B6" s="7" t="str">
        <f t="shared" si="0"/>
        <v>Graz</v>
      </c>
      <c r="D6" s="9" t="s">
        <v>43</v>
      </c>
      <c r="E6" s="2" t="s">
        <v>47</v>
      </c>
    </row>
    <row r="7" spans="1:7" x14ac:dyDescent="0.3">
      <c r="A7" s="3" t="s">
        <v>42</v>
      </c>
      <c r="B7" s="7" t="str">
        <f t="shared" si="0"/>
        <v>Graz</v>
      </c>
    </row>
    <row r="8" spans="1:7" x14ac:dyDescent="0.3">
      <c r="A8" s="3" t="s">
        <v>43</v>
      </c>
      <c r="B8" s="7" t="str">
        <f t="shared" si="0"/>
        <v>Wien</v>
      </c>
    </row>
    <row r="9" spans="1:7" x14ac:dyDescent="0.3">
      <c r="A9" s="3" t="s">
        <v>41</v>
      </c>
      <c r="B9" s="7" t="str">
        <f t="shared" si="0"/>
        <v>Inssbruck</v>
      </c>
    </row>
    <row r="10" spans="1:7" x14ac:dyDescent="0.3">
      <c r="A10" s="3" t="s">
        <v>41</v>
      </c>
      <c r="B10" s="7" t="str">
        <f t="shared" si="0"/>
        <v>Inssbruck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7CB7-48F1-45BE-8923-1955BB1B4A6E}">
  <dimension ref="A1:G10"/>
  <sheetViews>
    <sheetView zoomScale="175" zoomScaleNormal="175" workbookViewId="0">
      <selection activeCell="B4" sqref="B4:B10"/>
    </sheetView>
  </sheetViews>
  <sheetFormatPr baseColWidth="10" defaultColWidth="9.1796875" defaultRowHeight="14" x14ac:dyDescent="0.3"/>
  <cols>
    <col min="1" max="1" width="14.453125" style="1" customWidth="1"/>
    <col min="2" max="2" width="24" style="1" customWidth="1"/>
    <col min="3" max="3" width="19.54296875" style="1" customWidth="1"/>
    <col min="4" max="4" width="9.1796875" style="1"/>
    <col min="5" max="5" width="18.26953125" style="1" customWidth="1"/>
    <col min="6" max="6" width="13.26953125" style="1" customWidth="1"/>
    <col min="7" max="16384" width="9.1796875" style="1"/>
  </cols>
  <sheetData>
    <row r="1" spans="1:7" ht="30.75" customHeight="1" x14ac:dyDescent="0.3">
      <c r="A1" s="12" t="s">
        <v>54</v>
      </c>
      <c r="B1" s="13"/>
      <c r="C1" s="13"/>
      <c r="D1" s="13"/>
    </row>
    <row r="3" spans="1:7" ht="15" x14ac:dyDescent="0.3">
      <c r="A3" s="8" t="s">
        <v>51</v>
      </c>
      <c r="B3" s="8" t="s">
        <v>53</v>
      </c>
    </row>
    <row r="4" spans="1:7" x14ac:dyDescent="0.3">
      <c r="A4" s="3" t="s">
        <v>13</v>
      </c>
      <c r="B4" s="7">
        <f>IF(A4="Kind",$D$4,IF(A4="Erwachsener",$D$6,IF(A4="Jugendlicher",$D$5,"Fehler")))</f>
        <v>27.5</v>
      </c>
      <c r="D4" s="10">
        <v>27.5</v>
      </c>
      <c r="E4" s="2" t="s">
        <v>49</v>
      </c>
      <c r="G4" s="7"/>
    </row>
    <row r="5" spans="1:7" x14ac:dyDescent="0.3">
      <c r="A5" s="3" t="s">
        <v>12</v>
      </c>
      <c r="B5" s="7">
        <f t="shared" ref="B5:B10" si="0">IF(A5="Kind",$D$4,IF(A5="Erwachsener",$D$6,IF(A5="Jugendlicher",$D$5,"Fehler")))</f>
        <v>52.5</v>
      </c>
      <c r="D5" s="10">
        <v>35.5</v>
      </c>
      <c r="E5" s="2" t="s">
        <v>48</v>
      </c>
      <c r="G5" s="7"/>
    </row>
    <row r="6" spans="1:7" x14ac:dyDescent="0.3">
      <c r="A6" s="3" t="s">
        <v>52</v>
      </c>
      <c r="B6" s="7">
        <f t="shared" si="0"/>
        <v>35.5</v>
      </c>
      <c r="D6" s="10">
        <v>52.5</v>
      </c>
      <c r="E6" s="2" t="s">
        <v>50</v>
      </c>
    </row>
    <row r="7" spans="1:7" x14ac:dyDescent="0.3">
      <c r="A7" s="3" t="s">
        <v>52</v>
      </c>
      <c r="B7" s="7">
        <f t="shared" si="0"/>
        <v>35.5</v>
      </c>
    </row>
    <row r="8" spans="1:7" x14ac:dyDescent="0.3">
      <c r="A8" s="3" t="s">
        <v>12</v>
      </c>
      <c r="B8" s="7">
        <f t="shared" si="0"/>
        <v>52.5</v>
      </c>
    </row>
    <row r="9" spans="1:7" x14ac:dyDescent="0.3">
      <c r="A9" s="3" t="s">
        <v>13</v>
      </c>
      <c r="B9" s="7">
        <f t="shared" si="0"/>
        <v>27.5</v>
      </c>
    </row>
    <row r="10" spans="1:7" x14ac:dyDescent="0.3">
      <c r="A10" s="3" t="s">
        <v>13</v>
      </c>
      <c r="B10" s="7">
        <f t="shared" si="0"/>
        <v>27.5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64FDC-B854-4691-9B5E-98F365EEA74F}">
  <dimension ref="A1:G10"/>
  <sheetViews>
    <sheetView zoomScale="145" zoomScaleNormal="145" workbookViewId="0">
      <selection activeCell="B4" sqref="B4:B10"/>
    </sheetView>
  </sheetViews>
  <sheetFormatPr baseColWidth="10" defaultColWidth="9.1796875" defaultRowHeight="14" x14ac:dyDescent="0.3"/>
  <cols>
    <col min="1" max="1" width="14.453125" style="1" customWidth="1"/>
    <col min="2" max="2" width="24" style="1" customWidth="1"/>
    <col min="3" max="3" width="19.54296875" style="1" customWidth="1"/>
    <col min="4" max="4" width="9.1796875" style="1"/>
    <col min="5" max="5" width="18.26953125" style="1" customWidth="1"/>
    <col min="6" max="6" width="13.26953125" style="1" customWidth="1"/>
    <col min="7" max="16384" width="9.1796875" style="1"/>
  </cols>
  <sheetData>
    <row r="1" spans="1:7" ht="47.25" customHeight="1" x14ac:dyDescent="0.3">
      <c r="A1" s="12" t="s">
        <v>55</v>
      </c>
      <c r="B1" s="13"/>
      <c r="C1" s="13"/>
      <c r="D1" s="13"/>
    </row>
    <row r="3" spans="1:7" ht="15" x14ac:dyDescent="0.3">
      <c r="A3" s="8" t="s">
        <v>51</v>
      </c>
      <c r="B3" s="8" t="s">
        <v>53</v>
      </c>
    </row>
    <row r="4" spans="1:7" x14ac:dyDescent="0.3">
      <c r="A4" s="3" t="s">
        <v>56</v>
      </c>
      <c r="B4" s="7" t="str">
        <f>IF(A4="LI","Linder",IF(A4="LN","Großer",IF(A4="MT","Mayer",IF(A4="BM","Minner","Fehler"))))</f>
        <v>Linder</v>
      </c>
      <c r="G4" s="7"/>
    </row>
    <row r="5" spans="1:7" x14ac:dyDescent="0.3">
      <c r="A5" s="3" t="s">
        <v>57</v>
      </c>
      <c r="B5" s="7" t="str">
        <f t="shared" ref="B5:B10" si="0">IF(A5="LI","Linder",IF(A5="LN","Großer",IF(A5="MT","Mayer",IF(A5="BM","Minner","Fehler"))))</f>
        <v>Großer</v>
      </c>
      <c r="G5" s="7"/>
    </row>
    <row r="6" spans="1:7" x14ac:dyDescent="0.3">
      <c r="A6" s="3" t="s">
        <v>58</v>
      </c>
      <c r="B6" s="7" t="str">
        <f t="shared" si="0"/>
        <v>Mayer</v>
      </c>
    </row>
    <row r="7" spans="1:7" x14ac:dyDescent="0.3">
      <c r="A7" s="3" t="s">
        <v>58</v>
      </c>
      <c r="B7" s="7" t="str">
        <f t="shared" si="0"/>
        <v>Mayer</v>
      </c>
    </row>
    <row r="8" spans="1:7" x14ac:dyDescent="0.3">
      <c r="A8" s="3" t="s">
        <v>57</v>
      </c>
      <c r="B8" s="7" t="str">
        <f t="shared" si="0"/>
        <v>Großer</v>
      </c>
    </row>
    <row r="9" spans="1:7" x14ac:dyDescent="0.3">
      <c r="A9" s="3" t="s">
        <v>56</v>
      </c>
      <c r="B9" s="7" t="str">
        <f t="shared" si="0"/>
        <v>Linder</v>
      </c>
    </row>
    <row r="10" spans="1:7" x14ac:dyDescent="0.3">
      <c r="A10" s="3" t="s">
        <v>59</v>
      </c>
      <c r="B10" s="7" t="str">
        <f t="shared" si="0"/>
        <v>Minner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6F23-B6FB-4A93-B589-98DD16E95471}">
  <dimension ref="B3:C6"/>
  <sheetViews>
    <sheetView tabSelected="1" zoomScale="220" zoomScaleNormal="220" workbookViewId="0">
      <selection activeCell="C3" sqref="C3"/>
    </sheetView>
  </sheetViews>
  <sheetFormatPr baseColWidth="10" defaultColWidth="11.453125" defaultRowHeight="15.5" x14ac:dyDescent="0.35"/>
  <cols>
    <col min="1" max="16384" width="11.453125" style="4"/>
  </cols>
  <sheetData>
    <row r="3" spans="2:3" x14ac:dyDescent="0.35">
      <c r="B3" s="6" t="s">
        <v>58</v>
      </c>
      <c r="C3" s="5" t="s">
        <v>60</v>
      </c>
    </row>
    <row r="4" spans="2:3" x14ac:dyDescent="0.35">
      <c r="B4" s="6" t="s">
        <v>56</v>
      </c>
      <c r="C4" s="5" t="s">
        <v>61</v>
      </c>
    </row>
    <row r="5" spans="2:3" x14ac:dyDescent="0.35">
      <c r="B5" s="6" t="s">
        <v>57</v>
      </c>
      <c r="C5" s="5" t="s">
        <v>62</v>
      </c>
    </row>
    <row r="6" spans="2:3" x14ac:dyDescent="0.35">
      <c r="B6" s="6" t="s">
        <v>59</v>
      </c>
      <c r="C6" s="5" t="s">
        <v>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Wenn I</vt:lpstr>
      <vt:lpstr>Wenn II</vt:lpstr>
      <vt:lpstr>Wenn III</vt:lpstr>
      <vt:lpstr>Wenn IV</vt:lpstr>
      <vt:lpstr>Wenn V</vt:lpstr>
      <vt:lpstr>Wenn VI</vt:lpstr>
      <vt:lpstr>Wenn VII</vt:lpstr>
      <vt:lpstr>Tabelle7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2015-06-05T18:19:34Z</dcterms:created>
  <dcterms:modified xsi:type="dcterms:W3CDTF">2025-09-10T13:01:24Z</dcterms:modified>
</cp:coreProperties>
</file>