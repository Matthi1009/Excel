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114F199B-8A6F-4EE1-930D-32D602EF97E2}" xr6:coauthVersionLast="47" xr6:coauthVersionMax="47" xr10:uidLastSave="{00000000-0000-0000-0000-000000000000}"/>
  <bookViews>
    <workbookView xWindow="-110" yWindow="-110" windowWidth="19420" windowHeight="11500" activeTab="1" xr2:uid="{1D763323-DDB7-4669-8794-FB4072D703A7}"/>
  </bookViews>
  <sheets>
    <sheet name="Tabelle0" sheetId="4" r:id="rId1"/>
    <sheet name="sverweis - En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3" l="1"/>
  <c r="J9" i="3"/>
  <c r="D10" i="3"/>
  <c r="D9" i="3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4" i="4"/>
  <c r="P20" i="4"/>
  <c r="P19" i="4"/>
  <c r="P18" i="4"/>
  <c r="P17" i="4"/>
  <c r="M20" i="4"/>
  <c r="M19" i="4"/>
  <c r="M18" i="4"/>
  <c r="M17" i="4"/>
  <c r="M16" i="4"/>
  <c r="F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H9" i="3" l="1"/>
</calcChain>
</file>

<file path=xl/sharedStrings.xml><?xml version="1.0" encoding="utf-8"?>
<sst xmlns="http://schemas.openxmlformats.org/spreadsheetml/2006/main" count="64" uniqueCount="54">
  <si>
    <t>Sverweis</t>
  </si>
  <si>
    <t>Franz</t>
  </si>
  <si>
    <t>Fritz</t>
  </si>
  <si>
    <t>Rechnungsbetrag</t>
  </si>
  <si>
    <t>Menge</t>
  </si>
  <si>
    <t>ArtikelNr</t>
  </si>
  <si>
    <t>Kunde</t>
  </si>
  <si>
    <t>Bestelltabelle 2</t>
  </si>
  <si>
    <t>Bestelltabelle 1</t>
  </si>
  <si>
    <t>E-Bike</t>
  </si>
  <si>
    <t>Mountainbike</t>
  </si>
  <si>
    <t>Preis</t>
  </si>
  <si>
    <t>Bezeichnung</t>
  </si>
  <si>
    <t>Lagertabelle</t>
  </si>
  <si>
    <t>Wenn UE1</t>
  </si>
  <si>
    <t>Wenn UE2</t>
  </si>
  <si>
    <t>Wenn UE3</t>
  </si>
  <si>
    <t>Sverweis1
Wohnung/Handy</t>
  </si>
  <si>
    <t>Sverweis2
Fehltage</t>
  </si>
  <si>
    <t>Sverweis3
Porto</t>
  </si>
  <si>
    <t>Sverweis4
Provision</t>
  </si>
  <si>
    <t>Sverweis5
Dienstplan</t>
  </si>
  <si>
    <t>Summe</t>
  </si>
  <si>
    <t>Schüler4</t>
  </si>
  <si>
    <t>Schüler5</t>
  </si>
  <si>
    <t>Schüler6</t>
  </si>
  <si>
    <t>Schüler7</t>
  </si>
  <si>
    <t>Schüler8</t>
  </si>
  <si>
    <t>Schüler9</t>
  </si>
  <si>
    <t>Schüler10</t>
  </si>
  <si>
    <t>Schüler11</t>
  </si>
  <si>
    <t>Schüler12</t>
  </si>
  <si>
    <t>Schüler13</t>
  </si>
  <si>
    <t>Schüler14</t>
  </si>
  <si>
    <t>Schüler15</t>
  </si>
  <si>
    <t>Schüler16</t>
  </si>
  <si>
    <t>Schüler17</t>
  </si>
  <si>
    <t>Noten</t>
  </si>
  <si>
    <t>Punkte</t>
  </si>
  <si>
    <t>Note</t>
  </si>
  <si>
    <t xml:space="preserve">    Suchkriterium muss in der ersten Spalte sein!!</t>
  </si>
  <si>
    <r>
      <rPr>
        <b/>
        <sz val="18"/>
        <color theme="8" tint="-0.249977111117893"/>
        <rFont val="Times New Roman"/>
        <family val="1"/>
      </rPr>
      <t>1. Suchkriterium</t>
    </r>
    <r>
      <rPr>
        <sz val="18"/>
        <color theme="1"/>
        <rFont val="Times New Roman"/>
        <family val="1"/>
      </rPr>
      <t xml:space="preserve"> - Was suchen wir? (z.B. Punkteanzahl)</t>
    </r>
  </si>
  <si>
    <r>
      <rPr>
        <b/>
        <sz val="18"/>
        <color theme="8" tint="-0.249977111117893"/>
        <rFont val="Times New Roman"/>
        <family val="1"/>
      </rPr>
      <t>2. Matrix</t>
    </r>
    <r>
      <rPr>
        <sz val="18"/>
        <color theme="1"/>
        <rFont val="Times New Roman"/>
        <family val="1"/>
      </rPr>
      <t xml:space="preserve"> = Wo suchen wir? (z.B. Notentabelle)</t>
    </r>
  </si>
  <si>
    <r>
      <rPr>
        <b/>
        <sz val="18"/>
        <color theme="8" tint="-0.249977111117893"/>
        <rFont val="Times New Roman"/>
        <family val="1"/>
      </rPr>
      <t>4. Falsch</t>
    </r>
    <r>
      <rPr>
        <sz val="18"/>
        <color theme="8" tint="-0.249977111117893"/>
        <rFont val="Times New Roman"/>
        <family val="1"/>
      </rPr>
      <t xml:space="preserve"> </t>
    </r>
    <r>
      <rPr>
        <sz val="18"/>
        <color theme="1"/>
        <rFont val="Times New Roman"/>
        <family val="1"/>
      </rPr>
      <t>für genaue Übereinstimmung</t>
    </r>
  </si>
  <si>
    <r>
      <t xml:space="preserve">    </t>
    </r>
    <r>
      <rPr>
        <b/>
        <sz val="18"/>
        <color theme="8" tint="-0.249977111117893"/>
        <rFont val="Times New Roman"/>
        <family val="1"/>
      </rPr>
      <t>Wahr</t>
    </r>
    <r>
      <rPr>
        <sz val="18"/>
        <color theme="1"/>
        <rFont val="Times New Roman"/>
        <family val="1"/>
      </rPr>
      <t xml:space="preserve"> für ungenaue Übereinstimmung</t>
    </r>
  </si>
  <si>
    <r>
      <rPr>
        <b/>
        <sz val="18"/>
        <color theme="8" tint="-0.249977111117893"/>
        <rFont val="Times New Roman"/>
        <family val="1"/>
      </rPr>
      <t xml:space="preserve">3. Spaltenindex </t>
    </r>
    <r>
      <rPr>
        <sz val="18"/>
        <color theme="1"/>
        <rFont val="Times New Roman"/>
        <family val="1"/>
      </rPr>
      <t>- Was wird ausgegeben? (z.B. Spalte 2 für Note)</t>
    </r>
  </si>
  <si>
    <r>
      <rPr>
        <b/>
        <sz val="12"/>
        <color theme="8" tint="-0.249977111117893"/>
        <rFont val="Times New Roman"/>
        <family val="1"/>
      </rPr>
      <t>1. Suchkriterium</t>
    </r>
    <r>
      <rPr>
        <sz val="12"/>
        <color theme="1"/>
        <rFont val="Times New Roman"/>
        <family val="1"/>
      </rPr>
      <t xml:space="preserve"> - Was suchen wir? (z.B. Punkteanzahl)</t>
    </r>
  </si>
  <si>
    <r>
      <rPr>
        <b/>
        <sz val="12"/>
        <color theme="8" tint="-0.249977111117893"/>
        <rFont val="Times New Roman"/>
        <family val="1"/>
      </rPr>
      <t>2. Matrix</t>
    </r>
    <r>
      <rPr>
        <sz val="12"/>
        <color theme="1"/>
        <rFont val="Times New Roman"/>
        <family val="1"/>
      </rPr>
      <t xml:space="preserve"> = Wo suchen wir? (z.B. Notentabelle)</t>
    </r>
  </si>
  <si>
    <r>
      <rPr>
        <b/>
        <sz val="12"/>
        <color theme="8" tint="-0.249977111117893"/>
        <rFont val="Times New Roman"/>
        <family val="1"/>
      </rPr>
      <t xml:space="preserve">3. Spaltenindex </t>
    </r>
    <r>
      <rPr>
        <sz val="12"/>
        <color theme="1"/>
        <rFont val="Times New Roman"/>
        <family val="1"/>
      </rPr>
      <t>- Was wird ausgegeben? (z.B. Spalte 2 für Note)</t>
    </r>
  </si>
  <si>
    <r>
      <rPr>
        <b/>
        <sz val="12"/>
        <color theme="8" tint="-0.249977111117893"/>
        <rFont val="Times New Roman"/>
        <family val="1"/>
      </rPr>
      <t>4. Falsch</t>
    </r>
    <r>
      <rPr>
        <sz val="12"/>
        <color theme="8" tint="-0.249977111117893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für genaue Übereinstimmung</t>
    </r>
  </si>
  <si>
    <r>
      <t xml:space="preserve">    </t>
    </r>
    <r>
      <rPr>
        <b/>
        <sz val="12"/>
        <color theme="8" tint="-0.249977111117893"/>
        <rFont val="Times New Roman"/>
        <family val="1"/>
      </rPr>
      <t>Wahr</t>
    </r>
    <r>
      <rPr>
        <sz val="12"/>
        <color theme="1"/>
        <rFont val="Times New Roman"/>
        <family val="1"/>
      </rPr>
      <t xml:space="preserve"> für ungenaue Übereinstimmung</t>
    </r>
  </si>
  <si>
    <t>Schleef</t>
  </si>
  <si>
    <t>Nowak</t>
  </si>
  <si>
    <t>Rauter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</si>
</sst>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8"/>
      <color theme="8" tint="-0.249977111117893"/>
      <name val="Times New Roman"/>
      <family val="1"/>
    </font>
    <font>
      <b/>
      <sz val="18"/>
      <color theme="8" tint="-0.249977111117893"/>
      <name val="Times New Roman"/>
      <family val="1"/>
    </font>
    <font>
      <b/>
      <sz val="12"/>
      <color theme="8" tint="-0.249977111117893"/>
      <name val="Times New Roman"/>
      <family val="1"/>
    </font>
    <font>
      <sz val="12"/>
      <color theme="8" tint="-0.24997711111789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lightGrid">
        <fgColor theme="4" tint="0.59996337778862885"/>
        <bgColor indexed="65"/>
      </patternFill>
    </fill>
    <fill>
      <patternFill patternType="lightVertical">
        <fgColor theme="2" tint="-0.2499465926084170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164" fontId="0" fillId="0" borderId="1" xfId="1" applyFont="1" applyBorder="1"/>
    <xf numFmtId="0" fontId="0" fillId="0" borderId="2" xfId="0" applyBorder="1"/>
    <xf numFmtId="0" fontId="0" fillId="0" borderId="3" xfId="0" applyBorder="1"/>
    <xf numFmtId="164" fontId="0" fillId="0" borderId="4" xfId="1" applyFont="1" applyBorder="1"/>
    <xf numFmtId="0" fontId="0" fillId="0" borderId="5" xfId="0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9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/>
    </xf>
    <xf numFmtId="165" fontId="7" fillId="4" borderId="0" xfId="0" applyNumberFormat="1" applyFont="1" applyFill="1"/>
    <xf numFmtId="0" fontId="4" fillId="0" borderId="9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0" borderId="9" xfId="0" applyFont="1" applyBorder="1" applyAlignment="1">
      <alignment horizontal="center"/>
    </xf>
    <xf numFmtId="0" fontId="8" fillId="7" borderId="9" xfId="0" applyFont="1" applyFill="1" applyBorder="1"/>
    <xf numFmtId="0" fontId="14" fillId="8" borderId="0" xfId="0" applyFont="1" applyFill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C3B4-66B8-4CDD-9073-DFD9D3037CDD}">
  <dimension ref="A1:T30"/>
  <sheetViews>
    <sheetView topLeftCell="A3" zoomScale="70" zoomScaleNormal="70" workbookViewId="0">
      <selection activeCell="N4" sqref="N4:N20"/>
    </sheetView>
  </sheetViews>
  <sheetFormatPr baseColWidth="10" defaultColWidth="11.453125" defaultRowHeight="15.5" x14ac:dyDescent="0.35"/>
  <cols>
    <col min="1" max="1" width="3.7265625" style="13" bestFit="1" customWidth="1"/>
    <col min="2" max="2" width="20" style="14" bestFit="1" customWidth="1"/>
    <col min="3" max="3" width="6.54296875" style="14" customWidth="1"/>
    <col min="4" max="4" width="12.54296875" style="13" customWidth="1"/>
    <col min="5" max="12" width="11.453125" style="13"/>
    <col min="13" max="13" width="7.26953125" style="13" bestFit="1" customWidth="1"/>
    <col min="14" max="14" width="12.81640625" style="13" bestFit="1" customWidth="1"/>
    <col min="15" max="16384" width="11.453125" style="13"/>
  </cols>
  <sheetData>
    <row r="1" spans="1:20" ht="20" customHeight="1" x14ac:dyDescent="0.35"/>
    <row r="2" spans="1:20" ht="44" x14ac:dyDescent="0.5">
      <c r="D2" s="15" t="s">
        <v>14</v>
      </c>
      <c r="E2" s="15" t="s">
        <v>15</v>
      </c>
      <c r="F2" s="15" t="s">
        <v>16</v>
      </c>
      <c r="G2" s="16" t="s">
        <v>17</v>
      </c>
      <c r="H2" s="16" t="s">
        <v>18</v>
      </c>
      <c r="I2" s="16" t="s">
        <v>19</v>
      </c>
      <c r="J2" s="16" t="s">
        <v>20</v>
      </c>
      <c r="K2" s="16" t="s">
        <v>21</v>
      </c>
      <c r="M2" s="29" t="s">
        <v>22</v>
      </c>
      <c r="N2" s="28" t="s">
        <v>39</v>
      </c>
      <c r="S2" s="24"/>
      <c r="T2" s="24"/>
    </row>
    <row r="3" spans="1:20" ht="23" x14ac:dyDescent="0.5">
      <c r="D3" s="17">
        <v>1</v>
      </c>
      <c r="E3" s="17">
        <v>1</v>
      </c>
      <c r="F3" s="17">
        <v>1</v>
      </c>
      <c r="G3" s="17">
        <v>1</v>
      </c>
      <c r="H3" s="17">
        <v>1</v>
      </c>
      <c r="I3" s="17">
        <v>2</v>
      </c>
      <c r="J3" s="17">
        <v>1</v>
      </c>
      <c r="K3" s="17">
        <v>1</v>
      </c>
      <c r="M3" s="18">
        <f t="shared" ref="M3:M20" si="0">SUM(D3:K3)</f>
        <v>9</v>
      </c>
      <c r="S3" s="24"/>
      <c r="T3" s="24"/>
    </row>
    <row r="4" spans="1:20" ht="23" x14ac:dyDescent="0.5">
      <c r="A4" s="19">
        <v>1</v>
      </c>
      <c r="B4" s="31" t="s">
        <v>51</v>
      </c>
      <c r="C4" s="32"/>
      <c r="D4" s="19">
        <v>1</v>
      </c>
      <c r="E4" s="19">
        <v>1</v>
      </c>
      <c r="F4" s="19">
        <v>1</v>
      </c>
      <c r="G4" s="19">
        <v>1</v>
      </c>
      <c r="H4" s="19">
        <v>1</v>
      </c>
      <c r="I4" s="19">
        <v>2</v>
      </c>
      <c r="J4" s="19">
        <v>1</v>
      </c>
      <c r="K4" s="19">
        <v>1</v>
      </c>
      <c r="M4" s="18">
        <f t="shared" si="0"/>
        <v>9</v>
      </c>
      <c r="N4" s="30">
        <f>VLOOKUP(M4,$P$16:$Q$20,2,TRUE)</f>
        <v>1</v>
      </c>
      <c r="S4" s="24"/>
      <c r="T4" s="24"/>
    </row>
    <row r="5" spans="1:20" ht="23" x14ac:dyDescent="0.5">
      <c r="A5" s="20">
        <v>2</v>
      </c>
      <c r="B5" s="33" t="s">
        <v>52</v>
      </c>
      <c r="C5" s="34"/>
      <c r="D5" s="20">
        <v>0.5</v>
      </c>
      <c r="E5" s="20">
        <v>1</v>
      </c>
      <c r="F5" s="20">
        <v>0</v>
      </c>
      <c r="G5" s="20">
        <v>1</v>
      </c>
      <c r="H5" s="20">
        <v>1</v>
      </c>
      <c r="I5" s="20">
        <v>2</v>
      </c>
      <c r="J5" s="20">
        <v>1</v>
      </c>
      <c r="K5" s="20">
        <v>1</v>
      </c>
      <c r="M5" s="18">
        <f t="shared" si="0"/>
        <v>7.5</v>
      </c>
      <c r="N5" s="30">
        <f t="shared" ref="N5:N20" si="1">VLOOKUP(M5,$P$16:$Q$20,2,TRUE)</f>
        <v>2</v>
      </c>
      <c r="P5" s="25" t="s">
        <v>0</v>
      </c>
      <c r="Q5" s="24"/>
      <c r="R5" s="24"/>
      <c r="T5" s="24"/>
    </row>
    <row r="6" spans="1:20" ht="23" x14ac:dyDescent="0.5">
      <c r="A6" s="19">
        <v>3</v>
      </c>
      <c r="B6" s="31" t="s">
        <v>53</v>
      </c>
      <c r="C6" s="32"/>
      <c r="D6" s="19">
        <v>0.5</v>
      </c>
      <c r="E6" s="19">
        <v>1</v>
      </c>
      <c r="F6" s="19">
        <v>1</v>
      </c>
      <c r="G6" s="21">
        <v>1</v>
      </c>
      <c r="H6" s="21">
        <v>1</v>
      </c>
      <c r="I6" s="21">
        <v>2</v>
      </c>
      <c r="J6" s="21">
        <v>1</v>
      </c>
      <c r="K6" s="21">
        <v>1</v>
      </c>
      <c r="M6" s="18">
        <f t="shared" si="0"/>
        <v>8.5</v>
      </c>
      <c r="N6" s="30">
        <f t="shared" si="1"/>
        <v>1</v>
      </c>
      <c r="P6" s="24"/>
      <c r="Q6" s="24" t="s">
        <v>41</v>
      </c>
      <c r="R6" s="24"/>
      <c r="T6" s="24"/>
    </row>
    <row r="7" spans="1:20" ht="23" x14ac:dyDescent="0.5">
      <c r="A7" s="20">
        <v>4</v>
      </c>
      <c r="B7" s="33" t="s">
        <v>23</v>
      </c>
      <c r="C7" s="34"/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>
        <v>0.8</v>
      </c>
      <c r="J7" s="20">
        <v>1</v>
      </c>
      <c r="K7" s="20">
        <v>1</v>
      </c>
      <c r="M7" s="18">
        <f t="shared" si="0"/>
        <v>7.8</v>
      </c>
      <c r="N7" s="30">
        <f t="shared" si="1"/>
        <v>2</v>
      </c>
      <c r="P7" s="24"/>
      <c r="Q7" s="24" t="s">
        <v>42</v>
      </c>
      <c r="R7" s="24"/>
      <c r="T7" s="24"/>
    </row>
    <row r="8" spans="1:20" ht="23" x14ac:dyDescent="0.5">
      <c r="A8" s="19">
        <v>5</v>
      </c>
      <c r="B8" s="31" t="s">
        <v>24</v>
      </c>
      <c r="C8" s="32"/>
      <c r="D8" s="19">
        <v>1</v>
      </c>
      <c r="E8" s="19">
        <v>1</v>
      </c>
      <c r="F8" s="19">
        <v>0.8</v>
      </c>
      <c r="G8" s="19">
        <v>1</v>
      </c>
      <c r="H8" s="19">
        <v>1</v>
      </c>
      <c r="I8" s="19">
        <v>2</v>
      </c>
      <c r="J8" s="19">
        <v>1</v>
      </c>
      <c r="K8" s="19">
        <v>1</v>
      </c>
      <c r="M8" s="18">
        <f t="shared" si="0"/>
        <v>8.8000000000000007</v>
      </c>
      <c r="N8" s="30">
        <f t="shared" si="1"/>
        <v>1</v>
      </c>
      <c r="P8" s="24"/>
      <c r="Q8" s="25" t="s">
        <v>40</v>
      </c>
      <c r="R8" s="24"/>
    </row>
    <row r="9" spans="1:20" ht="23" x14ac:dyDescent="0.5">
      <c r="A9" s="20">
        <v>6</v>
      </c>
      <c r="B9" s="33" t="s">
        <v>25</v>
      </c>
      <c r="C9" s="34"/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>
        <v>0.8</v>
      </c>
      <c r="J9" s="20">
        <v>1</v>
      </c>
      <c r="K9" s="20">
        <v>1</v>
      </c>
      <c r="M9" s="18">
        <f t="shared" si="0"/>
        <v>7.8</v>
      </c>
      <c r="N9" s="30">
        <f t="shared" si="1"/>
        <v>2</v>
      </c>
      <c r="P9" s="24"/>
      <c r="Q9" s="24" t="s">
        <v>45</v>
      </c>
      <c r="R9" s="24"/>
    </row>
    <row r="10" spans="1:20" ht="23" x14ac:dyDescent="0.5">
      <c r="A10" s="19">
        <v>7</v>
      </c>
      <c r="B10" s="31" t="s">
        <v>26</v>
      </c>
      <c r="C10" s="32"/>
      <c r="D10" s="19">
        <v>1</v>
      </c>
      <c r="E10" s="19">
        <v>1</v>
      </c>
      <c r="F10" s="19">
        <v>1</v>
      </c>
      <c r="G10" s="19"/>
      <c r="H10" s="19"/>
      <c r="I10" s="21"/>
      <c r="J10" s="19"/>
      <c r="K10" s="19"/>
      <c r="M10" s="18">
        <f t="shared" si="0"/>
        <v>3</v>
      </c>
      <c r="N10" s="30">
        <f t="shared" si="1"/>
        <v>5</v>
      </c>
      <c r="P10" s="24"/>
      <c r="Q10" s="24" t="s">
        <v>43</v>
      </c>
      <c r="R10" s="24"/>
    </row>
    <row r="11" spans="1:20" ht="23" x14ac:dyDescent="0.5">
      <c r="A11" s="20">
        <v>8</v>
      </c>
      <c r="B11" s="33" t="s">
        <v>27</v>
      </c>
      <c r="C11" s="34"/>
      <c r="D11" s="20">
        <v>1</v>
      </c>
      <c r="E11" s="20">
        <v>1</v>
      </c>
      <c r="F11" s="20">
        <v>1</v>
      </c>
      <c r="G11" s="20"/>
      <c r="H11" s="20"/>
      <c r="I11" s="20"/>
      <c r="J11" s="20"/>
      <c r="K11" s="20"/>
      <c r="M11" s="18">
        <f t="shared" si="0"/>
        <v>3</v>
      </c>
      <c r="N11" s="30">
        <f t="shared" si="1"/>
        <v>5</v>
      </c>
      <c r="Q11" s="24" t="s">
        <v>44</v>
      </c>
    </row>
    <row r="12" spans="1:20" ht="20" x14ac:dyDescent="0.4">
      <c r="A12" s="19">
        <v>9</v>
      </c>
      <c r="B12" s="31" t="s">
        <v>28</v>
      </c>
      <c r="C12" s="32"/>
      <c r="D12" s="19">
        <v>1</v>
      </c>
      <c r="E12" s="19">
        <v>1</v>
      </c>
      <c r="F12" s="19">
        <v>1</v>
      </c>
      <c r="G12" s="19"/>
      <c r="H12" s="19"/>
      <c r="I12" s="21"/>
      <c r="J12" s="19"/>
      <c r="K12" s="19"/>
      <c r="M12" s="18">
        <f t="shared" si="0"/>
        <v>3</v>
      </c>
      <c r="N12" s="30">
        <f t="shared" si="1"/>
        <v>5</v>
      </c>
    </row>
    <row r="13" spans="1:20" ht="20" x14ac:dyDescent="0.4">
      <c r="A13" s="20">
        <v>10</v>
      </c>
      <c r="B13" s="33" t="s">
        <v>29</v>
      </c>
      <c r="C13" s="34"/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>
        <v>0.8</v>
      </c>
      <c r="J13" s="20">
        <v>1</v>
      </c>
      <c r="K13" s="20">
        <v>1</v>
      </c>
      <c r="M13" s="18">
        <f t="shared" si="0"/>
        <v>7.8</v>
      </c>
      <c r="N13" s="30">
        <f t="shared" si="1"/>
        <v>2</v>
      </c>
    </row>
    <row r="14" spans="1:20" ht="20" x14ac:dyDescent="0.4">
      <c r="A14" s="19">
        <v>11</v>
      </c>
      <c r="B14" s="31" t="s">
        <v>30</v>
      </c>
      <c r="C14" s="32"/>
      <c r="D14" s="19">
        <v>1</v>
      </c>
      <c r="E14" s="19">
        <v>1</v>
      </c>
      <c r="F14" s="19">
        <v>0</v>
      </c>
      <c r="G14" s="19">
        <v>1</v>
      </c>
      <c r="H14" s="19">
        <v>1</v>
      </c>
      <c r="I14" s="21">
        <v>0.8</v>
      </c>
      <c r="J14" s="19">
        <v>1</v>
      </c>
      <c r="K14" s="19">
        <v>1</v>
      </c>
      <c r="M14" s="18">
        <f t="shared" si="0"/>
        <v>6.8</v>
      </c>
      <c r="N14" s="30">
        <f t="shared" si="1"/>
        <v>2</v>
      </c>
    </row>
    <row r="15" spans="1:20" ht="20" x14ac:dyDescent="0.4">
      <c r="A15" s="20">
        <v>12</v>
      </c>
      <c r="B15" s="33" t="s">
        <v>31</v>
      </c>
      <c r="C15" s="34"/>
      <c r="D15" s="20">
        <v>0.5</v>
      </c>
      <c r="E15" s="20">
        <v>1</v>
      </c>
      <c r="F15" s="20">
        <v>1</v>
      </c>
      <c r="G15" s="20">
        <v>1</v>
      </c>
      <c r="H15" s="20">
        <v>1</v>
      </c>
      <c r="I15" s="20">
        <v>1.2</v>
      </c>
      <c r="J15" s="20">
        <v>1</v>
      </c>
      <c r="K15" s="20">
        <v>1</v>
      </c>
      <c r="M15" s="18">
        <f t="shared" si="0"/>
        <v>7.7</v>
      </c>
      <c r="N15" s="30">
        <f t="shared" si="1"/>
        <v>2</v>
      </c>
      <c r="P15" s="27" t="s">
        <v>38</v>
      </c>
      <c r="Q15" s="27" t="s">
        <v>37</v>
      </c>
    </row>
    <row r="16" spans="1:20" ht="20.5" x14ac:dyDescent="0.45">
      <c r="A16" s="19">
        <v>13</v>
      </c>
      <c r="B16" s="31" t="s">
        <v>32</v>
      </c>
      <c r="C16" s="32"/>
      <c r="D16" s="19">
        <v>1</v>
      </c>
      <c r="E16" s="19">
        <v>1</v>
      </c>
      <c r="F16" s="19">
        <f>1/5</f>
        <v>0.2</v>
      </c>
      <c r="G16" s="19"/>
      <c r="H16" s="19"/>
      <c r="I16" s="19"/>
      <c r="J16" s="19"/>
      <c r="K16" s="19"/>
      <c r="M16" s="18">
        <f t="shared" si="0"/>
        <v>2.2000000000000002</v>
      </c>
      <c r="N16" s="30">
        <f t="shared" si="1"/>
        <v>5</v>
      </c>
      <c r="P16" s="26">
        <v>0</v>
      </c>
      <c r="Q16" s="26">
        <v>5</v>
      </c>
    </row>
    <row r="17" spans="1:17" ht="20.5" x14ac:dyDescent="0.45">
      <c r="A17" s="20">
        <v>14</v>
      </c>
      <c r="B17" s="33" t="s">
        <v>33</v>
      </c>
      <c r="C17" s="34"/>
      <c r="D17" s="20">
        <v>1</v>
      </c>
      <c r="E17" s="20">
        <v>1</v>
      </c>
      <c r="F17" s="20">
        <v>0</v>
      </c>
      <c r="G17" s="20"/>
      <c r="H17" s="20"/>
      <c r="I17" s="20"/>
      <c r="J17" s="20"/>
      <c r="K17" s="20"/>
      <c r="M17" s="18">
        <f t="shared" si="0"/>
        <v>2</v>
      </c>
      <c r="N17" s="30">
        <f t="shared" si="1"/>
        <v>5</v>
      </c>
      <c r="P17" s="26">
        <f>9*0.5</f>
        <v>4.5</v>
      </c>
      <c r="Q17" s="26">
        <v>4</v>
      </c>
    </row>
    <row r="18" spans="1:17" ht="20.5" x14ac:dyDescent="0.45">
      <c r="A18" s="19">
        <v>15</v>
      </c>
      <c r="B18" s="31" t="s">
        <v>34</v>
      </c>
      <c r="C18" s="32"/>
      <c r="D18" s="19">
        <v>0.5</v>
      </c>
      <c r="E18" s="19">
        <v>1</v>
      </c>
      <c r="F18" s="19">
        <v>0</v>
      </c>
      <c r="G18" s="19">
        <v>1</v>
      </c>
      <c r="H18" s="19">
        <v>1</v>
      </c>
      <c r="I18" s="21">
        <v>0.8</v>
      </c>
      <c r="J18" s="19">
        <v>1</v>
      </c>
      <c r="K18" s="19">
        <v>1</v>
      </c>
      <c r="M18" s="18">
        <f t="shared" si="0"/>
        <v>6.3</v>
      </c>
      <c r="N18" s="30">
        <f t="shared" si="1"/>
        <v>3</v>
      </c>
      <c r="P18" s="26">
        <f>9*0.6</f>
        <v>5.3999999999999995</v>
      </c>
      <c r="Q18" s="26">
        <v>3</v>
      </c>
    </row>
    <row r="19" spans="1:17" ht="20.5" x14ac:dyDescent="0.45">
      <c r="A19" s="20">
        <v>16</v>
      </c>
      <c r="B19" s="33" t="s">
        <v>35</v>
      </c>
      <c r="C19" s="34"/>
      <c r="D19" s="20">
        <v>0.5</v>
      </c>
      <c r="E19" s="20">
        <v>1</v>
      </c>
      <c r="F19" s="20">
        <v>0</v>
      </c>
      <c r="G19" s="20">
        <v>1</v>
      </c>
      <c r="H19" s="20">
        <v>1</v>
      </c>
      <c r="I19" s="20">
        <v>0.8</v>
      </c>
      <c r="J19" s="20">
        <v>1</v>
      </c>
      <c r="K19" s="20">
        <v>1</v>
      </c>
      <c r="M19" s="18">
        <f t="shared" si="0"/>
        <v>6.3</v>
      </c>
      <c r="N19" s="30">
        <f t="shared" si="1"/>
        <v>3</v>
      </c>
      <c r="P19" s="26">
        <f>9*0.75</f>
        <v>6.75</v>
      </c>
      <c r="Q19" s="26">
        <v>2</v>
      </c>
    </row>
    <row r="20" spans="1:17" ht="20.5" x14ac:dyDescent="0.45">
      <c r="A20" s="19">
        <v>17</v>
      </c>
      <c r="B20" s="31" t="s">
        <v>36</v>
      </c>
      <c r="C20" s="32"/>
      <c r="D20" s="19">
        <v>0.5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M20" s="18">
        <f t="shared" si="0"/>
        <v>7.5</v>
      </c>
      <c r="N20" s="30">
        <f t="shared" si="1"/>
        <v>2</v>
      </c>
      <c r="P20" s="26">
        <f>9*0.9</f>
        <v>8.1</v>
      </c>
      <c r="Q20" s="26">
        <v>1</v>
      </c>
    </row>
    <row r="22" spans="1:17" ht="23" x14ac:dyDescent="0.5">
      <c r="B22" s="24"/>
      <c r="C22" s="24"/>
      <c r="D22" s="24"/>
      <c r="E22" s="24"/>
      <c r="F22" s="24"/>
    </row>
    <row r="23" spans="1:17" ht="23" x14ac:dyDescent="0.5">
      <c r="B23" s="25"/>
      <c r="C23" s="24"/>
      <c r="D23" s="24"/>
      <c r="E23" s="24"/>
      <c r="F23" s="24"/>
    </row>
    <row r="24" spans="1:17" ht="23" x14ac:dyDescent="0.5">
      <c r="B24" s="24"/>
      <c r="C24" s="24"/>
      <c r="D24" s="24"/>
      <c r="E24" s="24"/>
      <c r="F24" s="24"/>
    </row>
    <row r="25" spans="1:17" ht="23" x14ac:dyDescent="0.5">
      <c r="B25" s="24"/>
      <c r="C25" s="24"/>
      <c r="D25" s="24"/>
      <c r="E25" s="24"/>
      <c r="F25" s="24"/>
    </row>
    <row r="26" spans="1:17" ht="23" x14ac:dyDescent="0.5">
      <c r="B26" s="24"/>
      <c r="C26" s="24"/>
      <c r="D26" s="24"/>
      <c r="E26" s="24"/>
      <c r="F26" s="24"/>
    </row>
    <row r="27" spans="1:17" ht="23" x14ac:dyDescent="0.5">
      <c r="B27" s="24"/>
      <c r="C27" s="24"/>
      <c r="D27" s="24"/>
      <c r="E27" s="24"/>
      <c r="F27" s="24"/>
    </row>
    <row r="28" spans="1:17" ht="23" x14ac:dyDescent="0.5">
      <c r="B28" s="24"/>
      <c r="C28" s="24"/>
      <c r="D28" s="24"/>
      <c r="E28" s="24"/>
      <c r="F28" s="24"/>
    </row>
    <row r="29" spans="1:17" ht="23" x14ac:dyDescent="0.5">
      <c r="B29" s="24"/>
      <c r="C29" s="24"/>
      <c r="D29" s="24"/>
      <c r="E29" s="24"/>
      <c r="F29" s="24"/>
    </row>
    <row r="30" spans="1:17" ht="23" x14ac:dyDescent="0.5">
      <c r="B30" s="24"/>
      <c r="C30" s="24"/>
      <c r="D30" s="24"/>
      <c r="E30" s="24"/>
      <c r="F30" s="24"/>
    </row>
  </sheetData>
  <mergeCells count="17">
    <mergeCell ref="B15:C15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0FC5-83E1-41F5-BED8-268BA12492F3}">
  <dimension ref="A1:J19"/>
  <sheetViews>
    <sheetView tabSelected="1" workbookViewId="0">
      <selection activeCell="J21" sqref="J21"/>
    </sheetView>
  </sheetViews>
  <sheetFormatPr baseColWidth="10" defaultRowHeight="14.5" x14ac:dyDescent="0.35"/>
  <cols>
    <col min="2" max="2" width="13" customWidth="1"/>
    <col min="4" max="4" width="16.453125" bestFit="1" customWidth="1"/>
    <col min="8" max="8" width="14" customWidth="1"/>
    <col min="9" max="9" width="13.26953125" customWidth="1"/>
    <col min="10" max="10" width="15.26953125" bestFit="1" customWidth="1"/>
  </cols>
  <sheetData>
    <row r="1" spans="1:10" ht="15" thickBot="1" x14ac:dyDescent="0.4">
      <c r="A1" s="1" t="s">
        <v>13</v>
      </c>
    </row>
    <row r="2" spans="1:10" ht="15" thickBot="1" x14ac:dyDescent="0.4">
      <c r="A2" s="12" t="s">
        <v>5</v>
      </c>
      <c r="B2" s="11" t="s">
        <v>12</v>
      </c>
      <c r="C2" s="10" t="s">
        <v>11</v>
      </c>
    </row>
    <row r="3" spans="1:10" x14ac:dyDescent="0.35">
      <c r="A3" s="6">
        <v>1</v>
      </c>
      <c r="B3" t="s">
        <v>10</v>
      </c>
      <c r="C3" s="5">
        <v>650</v>
      </c>
    </row>
    <row r="4" spans="1:10" ht="15" thickBot="1" x14ac:dyDescent="0.4">
      <c r="A4" s="4">
        <v>2</v>
      </c>
      <c r="B4" s="3" t="s">
        <v>9</v>
      </c>
      <c r="C4" s="2">
        <v>980</v>
      </c>
    </row>
    <row r="7" spans="1:10" ht="15" thickBot="1" x14ac:dyDescent="0.4">
      <c r="A7" s="1" t="s">
        <v>8</v>
      </c>
      <c r="G7" s="1" t="s">
        <v>7</v>
      </c>
    </row>
    <row r="8" spans="1:10" ht="15" thickBot="1" x14ac:dyDescent="0.4">
      <c r="A8" s="9" t="s">
        <v>6</v>
      </c>
      <c r="B8" s="8" t="s">
        <v>5</v>
      </c>
      <c r="C8" s="8" t="s">
        <v>4</v>
      </c>
      <c r="D8" s="7" t="s">
        <v>3</v>
      </c>
      <c r="G8" s="9" t="s">
        <v>6</v>
      </c>
      <c r="H8" s="8" t="s">
        <v>5</v>
      </c>
      <c r="I8" s="8" t="s">
        <v>4</v>
      </c>
      <c r="J8" s="7" t="s">
        <v>3</v>
      </c>
    </row>
    <row r="9" spans="1:10" x14ac:dyDescent="0.35">
      <c r="A9" s="6" t="s">
        <v>2</v>
      </c>
      <c r="B9">
        <v>1</v>
      </c>
      <c r="C9">
        <v>2</v>
      </c>
      <c r="D9" s="5">
        <f>VLOOKUP(B9,A2:C4,3,TRUE)*C9</f>
        <v>1300</v>
      </c>
      <c r="G9" s="6" t="s">
        <v>2</v>
      </c>
      <c r="H9" t="str">
        <f>B3</f>
        <v>Mountainbike</v>
      </c>
      <c r="I9">
        <v>2</v>
      </c>
      <c r="J9" s="5">
        <f>VLOOKUP(H9,B2:C4,2,TRUE)*I9</f>
        <v>1300</v>
      </c>
    </row>
    <row r="10" spans="1:10" ht="15" thickBot="1" x14ac:dyDescent="0.4">
      <c r="A10" s="4" t="s">
        <v>1</v>
      </c>
      <c r="B10" s="3">
        <v>2</v>
      </c>
      <c r="C10" s="3">
        <v>3</v>
      </c>
      <c r="D10" s="5">
        <f>VLOOKUP(B10,A3:C5,3,TRUE)*C10</f>
        <v>2940</v>
      </c>
      <c r="G10" s="4" t="s">
        <v>1</v>
      </c>
      <c r="H10" s="3" t="s">
        <v>9</v>
      </c>
      <c r="I10" s="3">
        <v>3</v>
      </c>
      <c r="J10" s="5">
        <f>VLOOKUP(H10,B3:C5,2,TRUE)*I10</f>
        <v>2940</v>
      </c>
    </row>
    <row r="13" spans="1:10" ht="15.5" x14ac:dyDescent="0.35">
      <c r="B13" s="23" t="s">
        <v>0</v>
      </c>
      <c r="C13" s="14"/>
      <c r="D13" s="14"/>
      <c r="E13" s="14"/>
      <c r="F13" s="22"/>
      <c r="G13" s="22"/>
      <c r="H13" s="22"/>
      <c r="I13" s="22"/>
    </row>
    <row r="14" spans="1:10" ht="15.5" x14ac:dyDescent="0.35">
      <c r="B14" s="14"/>
      <c r="C14" s="14" t="s">
        <v>46</v>
      </c>
      <c r="D14" s="14"/>
      <c r="E14" s="14"/>
      <c r="F14" s="22"/>
      <c r="G14" s="22"/>
      <c r="H14" s="22"/>
      <c r="I14" s="22"/>
    </row>
    <row r="15" spans="1:10" ht="15.5" x14ac:dyDescent="0.35">
      <c r="B15" s="14"/>
      <c r="C15" s="14" t="s">
        <v>47</v>
      </c>
      <c r="D15" s="14"/>
      <c r="E15" s="14"/>
      <c r="F15" s="22"/>
      <c r="G15" s="22"/>
      <c r="H15" s="22"/>
      <c r="I15" s="22"/>
    </row>
    <row r="16" spans="1:10" ht="15.5" x14ac:dyDescent="0.35">
      <c r="B16" s="14"/>
      <c r="C16" s="23" t="s">
        <v>40</v>
      </c>
      <c r="D16" s="14"/>
      <c r="E16" s="14"/>
      <c r="F16" s="22"/>
      <c r="G16" s="22"/>
      <c r="H16" s="22"/>
      <c r="I16" s="22"/>
    </row>
    <row r="17" spans="2:9" ht="15.5" x14ac:dyDescent="0.35">
      <c r="B17" s="14"/>
      <c r="C17" s="14" t="s">
        <v>48</v>
      </c>
      <c r="D17" s="14"/>
      <c r="E17" s="14"/>
      <c r="F17" s="22"/>
      <c r="G17" s="22"/>
      <c r="H17" s="22"/>
      <c r="I17" s="22"/>
    </row>
    <row r="18" spans="2:9" ht="15.5" x14ac:dyDescent="0.35">
      <c r="B18" s="14"/>
      <c r="C18" s="14" t="s">
        <v>49</v>
      </c>
      <c r="D18" s="14"/>
      <c r="E18" s="14"/>
      <c r="F18" s="22"/>
      <c r="G18" s="22"/>
      <c r="H18" s="22"/>
      <c r="I18" s="22"/>
    </row>
    <row r="19" spans="2:9" ht="15.5" x14ac:dyDescent="0.35">
      <c r="B19" s="14"/>
      <c r="C19" s="14" t="s">
        <v>50</v>
      </c>
      <c r="D19" s="14"/>
      <c r="E19" s="14"/>
      <c r="F19" s="22"/>
      <c r="G19" s="22"/>
      <c r="H19" s="22"/>
      <c r="I19" s="2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Tabelle0</vt:lpstr>
      <vt:lpstr>sverweis - 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2019-10-22T19:45:29Z</dcterms:created>
  <dcterms:modified xsi:type="dcterms:W3CDTF">2025-10-15T12:22:51Z</dcterms:modified>
</cp:coreProperties>
</file>